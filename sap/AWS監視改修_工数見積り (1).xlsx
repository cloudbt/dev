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提案1自動拡張" sheetId="1" state="visible" r:id="rId3"/>
    <sheet name="Phase2(参考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<sst xmlns="http://schemas.openxmlformats.org/spreadsheetml/2006/main" count="144" uniqueCount="122">
  <si>
    <t xml:space="preserve">個別要件作業見積り</t>
  </si>
  <si>
    <t xml:space="preserve">分類</t>
  </si>
  <si>
    <t xml:space="preserve">システム名・タスク</t>
  </si>
  <si>
    <t xml:space="preserve">環境</t>
  </si>
  <si>
    <t xml:space="preserve">タスク内容</t>
  </si>
  <si>
    <t xml:space="preserve">詳細</t>
  </si>
  <si>
    <t xml:space="preserve">前提事項</t>
  </si>
  <si>
    <r>
      <rPr>
        <b val="true"/>
        <sz val="10"/>
        <rFont val="Noto Sans CJK SC"/>
        <family val="2"/>
      </rPr>
      <t xml:space="preserve">工数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人日</t>
    </r>
    <r>
      <rPr>
        <b val="true"/>
        <sz val="10"/>
        <rFont val="Meiryo UI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</si>
  <si>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工数</t>
    </r>
    <r>
      <rPr>
        <b val="true"/>
        <sz val="10"/>
        <rFont val="Meiryo UI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時間</t>
    </r>
    <r>
      <rPr>
        <b val="true"/>
        <sz val="10"/>
        <rFont val="Meiryo UI"/>
        <family val="0"/>
        <charset val="1"/>
      </rPr>
      <t xml:space="preserve">)</t>
    </r>
  </si>
  <si>
    <t xml:space="preserve">原単位</t>
  </si>
  <si>
    <t xml:space="preserve">合計</t>
  </si>
  <si>
    <t xml:space="preserve">自動拡張</t>
  </si>
  <si>
    <t xml:space="preserve">① 要件確認・設計</t>
  </si>
  <si>
    <t xml:space="preserve">共通</t>
  </si>
  <si>
    <t xml:space="preserve">現行調査、実現可否確認</t>
  </si>
  <si>
    <r>
      <rPr>
        <sz val="10"/>
        <rFont val="Meiryo UI"/>
        <family val="0"/>
        <charset val="1"/>
      </rPr>
      <t xml:space="preserve">CW Agent </t>
    </r>
    <r>
      <rPr>
        <sz val="10"/>
        <rFont val="Noto Sans CJK SC"/>
        <family val="2"/>
      </rPr>
      <t xml:space="preserve">の </t>
    </r>
    <r>
      <rPr>
        <sz val="10"/>
        <rFont val="Meiryo UI"/>
        <family val="0"/>
        <charset val="1"/>
      </rPr>
      <t xml:space="preserve">LogicalDisk % Free Space </t>
    </r>
    <r>
      <rPr>
        <sz val="10"/>
        <rFont val="Noto Sans CJK SC"/>
        <family val="2"/>
      </rPr>
      <t xml:space="preserve">収集状況と </t>
    </r>
    <r>
      <rPr>
        <sz val="10"/>
        <rFont val="Meiryo UI"/>
        <family val="0"/>
        <charset val="1"/>
      </rPr>
      <t xml:space="preserve">dimension </t>
    </r>
    <r>
      <rPr>
        <sz val="10"/>
        <rFont val="Noto Sans CJK SC"/>
        <family val="2"/>
      </rPr>
      <t xml:space="preserve">構成、</t>
    </r>
    <r>
      <rPr>
        <sz val="10"/>
        <rFont val="Meiryo UI"/>
        <family val="0"/>
        <charset val="1"/>
      </rPr>
      <t xml:space="preserve">SSM </t>
    </r>
    <r>
      <rPr>
        <sz val="10"/>
        <rFont val="Noto Sans CJK SC"/>
        <family val="2"/>
      </rPr>
      <t xml:space="preserve">マネージドノード登録状況、対象ボリュームの構成（</t>
    </r>
    <r>
      <rPr>
        <sz val="10"/>
        <rFont val="Meiryo UI"/>
        <family val="0"/>
        <charset val="1"/>
      </rPr>
      <t xml:space="preserve">GPT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gp3</t>
    </r>
    <r>
      <rPr>
        <sz val="10"/>
        <rFont val="Noto Sans CJK SC"/>
        <family val="2"/>
      </rPr>
      <t xml:space="preserve">／ドライブレターと</t>
    </r>
    <r>
      <rPr>
        <sz val="10"/>
        <rFont val="Meiryo UI"/>
        <family val="0"/>
        <charset val="1"/>
      </rPr>
      <t xml:space="preserve">Volume ID</t>
    </r>
    <r>
      <rPr>
        <sz val="10"/>
        <rFont val="Noto Sans CJK SC"/>
        <family val="2"/>
      </rPr>
      <t xml:space="preserve">の対応）を確認</t>
    </r>
  </si>
  <si>
    <t xml:space="preserve">一部実施済のため縮小計上</t>
  </si>
  <si>
    <t xml:space="preserve">設計書作成</t>
  </si>
  <si>
    <r>
      <rPr>
        <sz val="10"/>
        <rFont val="Noto Sans CJK SC"/>
        <family val="2"/>
      </rPr>
      <t xml:space="preserve">方式設計（</t>
    </r>
    <r>
      <rPr>
        <sz val="10"/>
        <rFont val="Meiryo UI"/>
        <family val="0"/>
        <charset val="1"/>
      </rPr>
      <t xml:space="preserve">Alarm→EventBridge→Step Functions→Lambda→SSM</t>
    </r>
    <r>
      <rPr>
        <sz val="10"/>
        <rFont val="Noto Sans CJK SC"/>
        <family val="2"/>
      </rPr>
      <t xml:space="preserve">）、監視設計（新規アラーム</t>
    </r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本・ウォッチドッグ</t>
    </r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本）、</t>
    </r>
    <r>
      <rPr>
        <sz val="10"/>
        <rFont val="Meiryo UI"/>
        <family val="0"/>
        <charset val="1"/>
      </rPr>
      <t xml:space="preserve">Stopper</t>
    </r>
    <r>
      <rPr>
        <sz val="10"/>
        <rFont val="Noto Sans CJK SC"/>
        <family val="2"/>
      </rPr>
      <t xml:space="preserve">設計（容量上限・クールダウン・月次回数）、通知設計（</t>
    </r>
    <r>
      <rPr>
        <sz val="10"/>
        <rFont val="Meiryo UI"/>
        <family val="0"/>
        <charset val="1"/>
      </rPr>
      <t xml:space="preserve">3</t>
    </r>
    <r>
      <rPr>
        <sz val="10"/>
        <rFont val="Noto Sans CJK SC"/>
        <family val="2"/>
      </rPr>
      <t xml:space="preserve">トピック分離・未解決事象の日次再通知）、異常系設計（事前チェックによる予防・リトライ・自動復旧・二重拡張防止）</t>
    </r>
  </si>
  <si>
    <t xml:space="preserve">顧客レビュー対応</t>
  </si>
  <si>
    <r>
      <rPr>
        <sz val="10"/>
        <rFont val="Noto Sans CJK SC"/>
        <family val="2"/>
      </rPr>
      <t xml:space="preserve">設計内容の説明、</t>
    </r>
    <r>
      <rPr>
        <sz val="10"/>
        <rFont val="Meiryo UI"/>
        <family val="0"/>
        <charset val="1"/>
      </rPr>
      <t xml:space="preserve">A</t>
    </r>
    <r>
      <rPr>
        <sz val="10"/>
        <rFont val="Noto Sans CJK SC"/>
        <family val="2"/>
      </rPr>
      <t xml:space="preserve">案（本番は通知のみ）／</t>
    </r>
    <r>
      <rPr>
        <sz val="10"/>
        <rFont val="Meiryo UI"/>
        <family val="0"/>
        <charset val="1"/>
      </rPr>
      <t xml:space="preserve">B</t>
    </r>
    <r>
      <rPr>
        <sz val="10"/>
        <rFont val="Noto Sans CJK SC"/>
        <family val="2"/>
      </rPr>
      <t xml:space="preserve">案（本番も自動化）の比較提示、</t>
    </r>
    <r>
      <rPr>
        <sz val="10"/>
        <rFont val="Meiryo UI"/>
        <family val="0"/>
        <charset val="1"/>
      </rPr>
      <t xml:space="preserve">Stopper </t>
    </r>
    <r>
      <rPr>
        <sz val="10"/>
        <rFont val="Noto Sans CJK SC"/>
        <family val="2"/>
      </rPr>
      <t xml:space="preserve">設定値（</t>
    </r>
    <r>
      <rPr>
        <sz val="10"/>
        <rFont val="Meiryo UI"/>
        <family val="0"/>
        <charset val="1"/>
      </rPr>
      <t xml:space="preserve">500GB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24</t>
    </r>
    <r>
      <rPr>
        <sz val="10"/>
        <rFont val="Noto Sans CJK SC"/>
        <family val="2"/>
      </rPr>
      <t xml:space="preserve">時間／</t>
    </r>
    <r>
      <rPr>
        <sz val="10"/>
        <rFont val="Meiryo UI"/>
        <family val="0"/>
        <charset val="1"/>
      </rPr>
      <t xml:space="preserve">3</t>
    </r>
    <r>
      <rPr>
        <sz val="10"/>
        <rFont val="Noto Sans CJK SC"/>
        <family val="2"/>
      </rPr>
      <t xml:space="preserve">回）の妥当性協議、想定コスト増分の提示</t>
    </r>
  </si>
  <si>
    <r>
      <rPr>
        <sz val="10"/>
        <rFont val="Noto Sans CJK SC"/>
        <family val="2"/>
      </rPr>
      <t xml:space="preserve">レビュー</t>
    </r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回程度を想定</t>
    </r>
  </si>
  <si>
    <t xml:space="preserve">設計書最終化</t>
  </si>
  <si>
    <t xml:space="preserve">レビュー指摘の反映、確定した設定値・通知先の反映、成果物としての整形</t>
  </si>
  <si>
    <t xml:space="preserve">指摘反映</t>
  </si>
  <si>
    <r>
      <rPr>
        <sz val="10"/>
        <rFont val="Meiryo UI"/>
        <family val="0"/>
        <charset val="1"/>
      </rPr>
      <t xml:space="preserve">② AWS</t>
    </r>
    <r>
      <rPr>
        <sz val="10"/>
        <rFont val="Noto Sans CJK SC"/>
        <family val="2"/>
      </rPr>
      <t xml:space="preserve">基盤構築</t>
    </r>
  </si>
  <si>
    <t xml:space="preserve">dev</t>
  </si>
  <si>
    <r>
      <rPr>
        <sz val="10"/>
        <rFont val="Meiryo UI"/>
        <family val="0"/>
        <charset val="1"/>
      </rPr>
      <t xml:space="preserve">IAM</t>
    </r>
    <r>
      <rPr>
        <sz val="10"/>
        <rFont val="Noto Sans CJK SC"/>
        <family val="2"/>
      </rPr>
      <t xml:space="preserve">ロール・ポリシー作成（</t>
    </r>
    <r>
      <rPr>
        <sz val="10"/>
        <rFont val="Meiryo UI"/>
        <family val="0"/>
        <charset val="1"/>
      </rPr>
      <t xml:space="preserve">Lambda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SSM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Step Functions</t>
    </r>
    <r>
      <rPr>
        <sz val="10"/>
        <rFont val="Noto Sans CJK SC"/>
        <family val="2"/>
      </rPr>
      <t xml:space="preserve">）</t>
    </r>
  </si>
  <si>
    <r>
      <rPr>
        <sz val="10"/>
        <rFont val="Meiryo UI"/>
        <family val="0"/>
        <charset val="1"/>
      </rPr>
      <t xml:space="preserve">Lambda</t>
    </r>
    <r>
      <rPr>
        <sz val="10"/>
        <rFont val="Noto Sans CJK SC"/>
        <family val="2"/>
      </rPr>
      <t xml:space="preserve">実行ロール（</t>
    </r>
    <r>
      <rPr>
        <sz val="10"/>
        <rFont val="Meiryo UI"/>
        <family val="0"/>
        <charset val="1"/>
      </rPr>
      <t xml:space="preserve">ec2:ModifyVolume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DescribeVolumesModifications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ssm:SendCommand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GetCommandInvocation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ssm:GetParameter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PutParameter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sns:Publish</t>
    </r>
    <r>
      <rPr>
        <sz val="10"/>
        <rFont val="Noto Sans CJK SC"/>
        <family val="2"/>
      </rPr>
      <t xml:space="preserve">）、</t>
    </r>
    <r>
      <rPr>
        <sz val="10"/>
        <rFont val="Meiryo UI"/>
        <family val="0"/>
        <charset val="1"/>
      </rPr>
      <t xml:space="preserve">Step Functions </t>
    </r>
    <r>
      <rPr>
        <sz val="10"/>
        <rFont val="Noto Sans CJK SC"/>
        <family val="2"/>
      </rPr>
      <t xml:space="preserve">実行ロール、</t>
    </r>
    <r>
      <rPr>
        <sz val="10"/>
        <rFont val="Meiryo UI"/>
        <family val="0"/>
        <charset val="1"/>
      </rPr>
      <t xml:space="preserve">EventBridge </t>
    </r>
    <r>
      <rPr>
        <sz val="10"/>
        <rFont val="Noto Sans CJK SC"/>
        <family val="2"/>
      </rPr>
      <t xml:space="preserve">起動ロールを作成</t>
    </r>
  </si>
  <si>
    <r>
      <rPr>
        <sz val="10"/>
        <rFont val="Meiryo UI"/>
        <family val="0"/>
        <charset val="1"/>
      </rPr>
      <t xml:space="preserve">SNS</t>
    </r>
    <r>
      <rPr>
        <sz val="10"/>
        <rFont val="Noto Sans CJK SC"/>
        <family val="2"/>
      </rPr>
      <t xml:space="preserve">トピック作成・サブスクリプション設定（</t>
    </r>
    <r>
      <rPr>
        <sz val="10"/>
        <rFont val="Meiryo UI"/>
        <family val="0"/>
        <charset val="1"/>
      </rPr>
      <t xml:space="preserve">info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action</t>
    </r>
    <r>
      <rPr>
        <sz val="10"/>
        <rFont val="Noto Sans CJK SC"/>
        <family val="2"/>
      </rPr>
      <t xml:space="preserve">）</t>
    </r>
  </si>
  <si>
    <r>
      <rPr>
        <sz val="10"/>
        <rFont val="Meiryo UI"/>
        <family val="0"/>
        <charset val="1"/>
      </rPr>
      <t xml:space="preserve">dph-info</t>
    </r>
    <r>
      <rPr>
        <sz val="10"/>
        <rFont val="Noto Sans CJK SC"/>
        <family val="2"/>
      </rPr>
      <t xml:space="preserve">（拡張成功・正常終了）、</t>
    </r>
    <r>
      <rPr>
        <sz val="10"/>
        <rFont val="Meiryo UI"/>
        <family val="0"/>
        <charset val="1"/>
      </rPr>
      <t xml:space="preserve">dph-action</t>
    </r>
    <r>
      <rPr>
        <sz val="10"/>
        <rFont val="Noto Sans CJK SC"/>
        <family val="2"/>
      </rPr>
      <t xml:space="preserve">（要対応：</t>
    </r>
    <r>
      <rPr>
        <sz val="10"/>
        <rFont val="Meiryo UI"/>
        <family val="0"/>
        <charset val="1"/>
      </rPr>
      <t xml:space="preserve">Stopper</t>
    </r>
    <r>
      <rPr>
        <sz val="10"/>
        <rFont val="Noto Sans CJK SC"/>
        <family val="2"/>
      </rPr>
      <t xml:space="preserve">発動・拡張失敗・通知のみモード）の</t>
    </r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トピックを新規作成しメール購読を設定</t>
    </r>
  </si>
  <si>
    <r>
      <rPr>
        <sz val="10"/>
        <rFont val="Noto Sans CJK SC"/>
        <family val="2"/>
      </rPr>
      <t xml:space="preserve">既存</t>
    </r>
    <r>
      <rPr>
        <sz val="10"/>
        <rFont val="Meiryo UI"/>
        <family val="0"/>
        <charset val="1"/>
      </rPr>
      <t xml:space="preserve">20%</t>
    </r>
    <r>
      <rPr>
        <sz val="10"/>
        <rFont val="Noto Sans CJK SC"/>
        <family val="2"/>
      </rPr>
      <t xml:space="preserve">通知は変更しない</t>
    </r>
  </si>
  <si>
    <r>
      <rPr>
        <sz val="10"/>
        <rFont val="Meiryo UI"/>
        <family val="0"/>
        <charset val="1"/>
      </rPr>
      <t xml:space="preserve">CloudWatch</t>
    </r>
    <r>
      <rPr>
        <sz val="10"/>
        <rFont val="Noto Sans CJK SC"/>
        <family val="2"/>
      </rPr>
      <t xml:space="preserve">アラーム作成</t>
    </r>
  </si>
  <si>
    <r>
      <rPr>
        <sz val="10"/>
        <rFont val="Noto Sans CJK SC"/>
        <family val="2"/>
      </rPr>
      <t xml:space="preserve">空き</t>
    </r>
    <r>
      <rPr>
        <sz val="10"/>
        <rFont val="Meiryo UI"/>
        <family val="0"/>
        <charset val="1"/>
      </rPr>
      <t xml:space="preserve">10%</t>
    </r>
    <r>
      <rPr>
        <sz val="10"/>
        <rFont val="Noto Sans CJK SC"/>
        <family val="2"/>
      </rPr>
      <t xml:space="preserve">未満（期間</t>
    </r>
    <r>
      <rPr>
        <sz val="10"/>
        <rFont val="Meiryo UI"/>
        <family val="0"/>
        <charset val="1"/>
      </rPr>
      <t xml:space="preserve">5</t>
    </r>
    <r>
      <rPr>
        <sz val="10"/>
        <rFont val="Noto Sans CJK SC"/>
        <family val="2"/>
      </rPr>
      <t xml:space="preserve">分・評価</t>
    </r>
    <r>
      <rPr>
        <sz val="10"/>
        <rFont val="Meiryo UI"/>
        <family val="0"/>
        <charset val="1"/>
      </rPr>
      <t xml:space="preserve">2/2</t>
    </r>
    <r>
      <rPr>
        <sz val="10"/>
        <rFont val="Noto Sans CJK SC"/>
        <family val="2"/>
      </rPr>
      <t xml:space="preserve">・欠落</t>
    </r>
    <r>
      <rPr>
        <sz val="10"/>
        <rFont val="Meiryo UI"/>
        <family val="0"/>
        <charset val="1"/>
      </rPr>
      <t xml:space="preserve">notBreaching</t>
    </r>
    <r>
      <rPr>
        <sz val="10"/>
        <rFont val="Noto Sans CJK SC"/>
        <family val="2"/>
      </rPr>
      <t xml:space="preserve">・アクションなし）を</t>
    </r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本、メトリクス途絶検知用（欠落</t>
    </r>
    <r>
      <rPr>
        <sz val="10"/>
        <rFont val="Meiryo UI"/>
        <family val="0"/>
        <charset val="1"/>
      </rPr>
      <t xml:space="preserve">breaching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時間）を</t>
    </r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本作成。</t>
    </r>
    <r>
      <rPr>
        <sz val="10"/>
        <rFont val="Meiryo UI"/>
        <family val="0"/>
        <charset val="1"/>
      </rPr>
      <t xml:space="preserve">dimension </t>
    </r>
    <r>
      <rPr>
        <sz val="10"/>
        <rFont val="Noto Sans CJK SC"/>
        <family val="2"/>
      </rPr>
      <t xml:space="preserve">は </t>
    </r>
    <r>
      <rPr>
        <sz val="10"/>
        <rFont val="Meiryo UI"/>
        <family val="0"/>
        <charset val="1"/>
      </rPr>
      <t xml:space="preserve">instance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objectname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InstanceId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ImageId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InstanceType </t>
    </r>
    <r>
      <rPr>
        <sz val="10"/>
        <rFont val="Noto Sans CJK SC"/>
        <family val="2"/>
      </rPr>
      <t xml:space="preserve">の</t>
    </r>
    <r>
      <rPr>
        <sz val="10"/>
        <rFont val="Meiryo UI"/>
        <family val="0"/>
        <charset val="1"/>
      </rPr>
      <t xml:space="preserve">5</t>
    </r>
    <r>
      <rPr>
        <sz val="10"/>
        <rFont val="Noto Sans CJK SC"/>
        <family val="2"/>
      </rPr>
      <t xml:space="preserve">つを完全一致で指定</t>
    </r>
  </si>
  <si>
    <r>
      <rPr>
        <sz val="10"/>
        <rFont val="Noto Sans CJK SC"/>
        <family val="2"/>
      </rPr>
      <t xml:space="preserve">自動拡張</t>
    </r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本、ウォッチドッグ</t>
    </r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本</t>
    </r>
  </si>
  <si>
    <r>
      <rPr>
        <sz val="10"/>
        <rFont val="Meiryo UI"/>
        <family val="0"/>
        <charset val="1"/>
      </rPr>
      <t xml:space="preserve">EventBridge</t>
    </r>
    <r>
      <rPr>
        <sz val="10"/>
        <rFont val="Noto Sans CJK SC"/>
        <family val="2"/>
      </rPr>
      <t xml:space="preserve">ルール／</t>
    </r>
    <r>
      <rPr>
        <sz val="10"/>
        <rFont val="Meiryo UI"/>
        <family val="0"/>
        <charset val="1"/>
      </rPr>
      <t xml:space="preserve">Scheduler</t>
    </r>
    <r>
      <rPr>
        <sz val="10"/>
        <rFont val="Noto Sans CJK SC"/>
        <family val="2"/>
      </rPr>
      <t xml:space="preserve">作成</t>
    </r>
  </si>
  <si>
    <r>
      <rPr>
        <sz val="10"/>
        <rFont val="Noto Sans CJK SC"/>
        <family val="2"/>
      </rPr>
      <t xml:space="preserve">対象アラーム名を明示列挙したルール（既存アラーム</t>
    </r>
    <r>
      <rPr>
        <sz val="10"/>
        <rFont val="Meiryo UI"/>
        <family val="0"/>
        <charset val="1"/>
      </rPr>
      <t xml:space="preserve">119</t>
    </r>
    <r>
      <rPr>
        <sz val="10"/>
        <rFont val="Noto Sans CJK SC"/>
        <family val="2"/>
      </rPr>
      <t xml:space="preserve">本との誤検知回避）、実行名による重複起動防止、自動復旧用</t>
    </r>
    <r>
      <rPr>
        <sz val="10"/>
        <rFont val="Meiryo UI"/>
        <family val="0"/>
        <charset val="1"/>
      </rPr>
      <t xml:space="preserve">Scheduler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15</t>
    </r>
    <r>
      <rPr>
        <sz val="10"/>
        <rFont val="Noto Sans CJK SC"/>
        <family val="2"/>
      </rPr>
      <t xml:space="preserve">分間隔）、未解決再通知用</t>
    </r>
    <r>
      <rPr>
        <sz val="10"/>
        <rFont val="Meiryo UI"/>
        <family val="0"/>
        <charset val="1"/>
      </rPr>
      <t xml:space="preserve">Scheduler</t>
    </r>
    <r>
      <rPr>
        <sz val="10"/>
        <rFont val="Noto Sans CJK SC"/>
        <family val="2"/>
      </rPr>
      <t xml:space="preserve">（日次）を作成</t>
    </r>
  </si>
  <si>
    <r>
      <rPr>
        <sz val="10"/>
        <rFont val="Meiryo UI"/>
        <family val="0"/>
        <charset val="1"/>
      </rPr>
      <t xml:space="preserve">Parameter Store </t>
    </r>
    <r>
      <rPr>
        <sz val="10"/>
        <rFont val="Noto Sans CJK SC"/>
        <family val="2"/>
      </rPr>
      <t xml:space="preserve">設定値・状態の初期投入</t>
    </r>
  </si>
  <si>
    <r>
      <rPr>
        <sz val="10"/>
        <rFont val="Noto Sans CJK SC"/>
        <family val="2"/>
      </rPr>
      <t xml:space="preserve">設定値（</t>
    </r>
    <r>
      <rPr>
        <sz val="10"/>
        <rFont val="Meiryo UI"/>
        <family val="0"/>
        <charset val="1"/>
      </rPr>
      <t xml:space="preserve">mode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increment_gb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max_size_gb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cooldown_hours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monthly_max_count</t>
    </r>
    <r>
      <rPr>
        <sz val="10"/>
        <rFont val="Noto Sans CJK SC"/>
        <family val="2"/>
      </rPr>
      <t xml:space="preserve">）と状態</t>
    </r>
    <r>
      <rPr>
        <sz val="10"/>
        <rFont val="Meiryo UI"/>
        <family val="0"/>
        <charset val="1"/>
      </rPr>
      <t xml:space="preserve">JSON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last_expanded_at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count_YYYYMM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pending_resize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retry_count</t>
    </r>
    <r>
      <rPr>
        <sz val="10"/>
        <rFont val="Noto Sans CJK SC"/>
        <family val="2"/>
      </rPr>
      <t xml:space="preserve">）を</t>
    </r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ボリューム分登録</t>
    </r>
  </si>
  <si>
    <t xml:space="preserve">③ 実装</t>
  </si>
  <si>
    <r>
      <rPr>
        <sz val="10"/>
        <rFont val="Meiryo UI"/>
        <family val="0"/>
        <charset val="1"/>
      </rPr>
      <t xml:space="preserve">SSM Document</t>
    </r>
    <r>
      <rPr>
        <sz val="10"/>
        <rFont val="Noto Sans CJK SC"/>
        <family val="2"/>
      </rPr>
      <t xml:space="preserve">作成（事前チェック）</t>
    </r>
  </si>
  <si>
    <r>
      <rPr>
        <sz val="10"/>
        <rFont val="Noto Sans CJK SC"/>
        <family val="2"/>
      </rPr>
      <t xml:space="preserve">対象ドライブの存在、パーティション形式（</t>
    </r>
    <r>
      <rPr>
        <sz val="10"/>
        <rFont val="Meiryo UI"/>
        <family val="0"/>
        <charset val="1"/>
      </rPr>
      <t xml:space="preserve">GPT</t>
    </r>
    <r>
      <rPr>
        <sz val="10"/>
        <rFont val="Noto Sans CJK SC"/>
        <family val="2"/>
      </rPr>
      <t xml:space="preserve">）、ディスク末尾配置、</t>
    </r>
    <r>
      <rPr>
        <sz val="10"/>
        <rFont val="Meiryo UI"/>
        <family val="0"/>
        <charset val="1"/>
      </rPr>
      <t xml:space="preserve">Get-PartitionSupportedSize </t>
    </r>
    <r>
      <rPr>
        <sz val="10"/>
        <rFont val="Noto Sans CJK SC"/>
        <family val="2"/>
      </rPr>
      <t xml:space="preserve">の取得可否を確認し、</t>
    </r>
    <r>
      <rPr>
        <sz val="10"/>
        <rFont val="Meiryo UI"/>
        <family val="0"/>
        <charset val="1"/>
      </rPr>
      <t xml:space="preserve">SerialNumber </t>
    </r>
    <r>
      <rPr>
        <sz val="10"/>
        <rFont val="Noto Sans CJK SC"/>
        <family val="2"/>
      </rPr>
      <t xml:space="preserve">から </t>
    </r>
    <r>
      <rPr>
        <sz val="10"/>
        <rFont val="Meiryo UI"/>
        <family val="0"/>
        <charset val="1"/>
      </rPr>
      <t xml:space="preserve">Volume ID </t>
    </r>
    <r>
      <rPr>
        <sz val="10"/>
        <rFont val="Noto Sans CJK SC"/>
        <family val="2"/>
      </rPr>
      <t xml:space="preserve">を復元して</t>
    </r>
    <r>
      <rPr>
        <sz val="10"/>
        <rFont val="Meiryo UI"/>
        <family val="0"/>
        <charset val="1"/>
      </rPr>
      <t xml:space="preserve">JSON</t>
    </r>
    <r>
      <rPr>
        <sz val="10"/>
        <rFont val="Noto Sans CJK SC"/>
        <family val="2"/>
      </rPr>
      <t xml:space="preserve">返却。</t>
    </r>
    <r>
      <rPr>
        <sz val="10"/>
        <rFont val="Meiryo UI"/>
        <family val="0"/>
        <charset val="1"/>
      </rPr>
      <t xml:space="preserve">NG</t>
    </r>
    <r>
      <rPr>
        <sz val="10"/>
        <rFont val="Noto Sans CJK SC"/>
        <family val="2"/>
      </rPr>
      <t xml:space="preserve">時は</t>
    </r>
    <r>
      <rPr>
        <sz val="10"/>
        <rFont val="Meiryo UI"/>
        <family val="0"/>
        <charset val="1"/>
      </rPr>
      <t xml:space="preserve">EBS</t>
    </r>
    <r>
      <rPr>
        <sz val="10"/>
        <rFont val="Noto Sans CJK SC"/>
        <family val="2"/>
      </rPr>
      <t xml:space="preserve">を拡張させないための起点となる</t>
    </r>
  </si>
  <si>
    <r>
      <rPr>
        <sz val="10"/>
        <rFont val="Meiryo UI"/>
        <family val="0"/>
        <charset val="1"/>
      </rPr>
      <t xml:space="preserve">SSM Document</t>
    </r>
    <r>
      <rPr>
        <sz val="10"/>
        <rFont val="Noto Sans CJK SC"/>
        <family val="2"/>
      </rPr>
      <t xml:space="preserve">作成（</t>
    </r>
    <r>
      <rPr>
        <sz val="10"/>
        <rFont val="Meiryo UI"/>
        <family val="0"/>
        <charset val="1"/>
      </rPr>
      <t xml:space="preserve">OS</t>
    </r>
    <r>
      <rPr>
        <sz val="10"/>
        <rFont val="Noto Sans CJK SC"/>
        <family val="2"/>
      </rPr>
      <t xml:space="preserve">側パーティション拡張）</t>
    </r>
  </si>
  <si>
    <r>
      <rPr>
        <sz val="10"/>
        <rFont val="Meiryo UI"/>
        <family val="0"/>
        <charset val="1"/>
      </rPr>
      <t xml:space="preserve">Update-HostStorageCache </t>
    </r>
    <r>
      <rPr>
        <sz val="10"/>
        <rFont val="Noto Sans CJK SC"/>
        <family val="2"/>
      </rPr>
      <t xml:space="preserve">実行後、</t>
    </r>
    <r>
      <rPr>
        <sz val="10"/>
        <rFont val="Meiryo UI"/>
        <family val="0"/>
        <charset val="1"/>
      </rPr>
      <t xml:space="preserve">Resize-Partition </t>
    </r>
    <r>
      <rPr>
        <sz val="10"/>
        <rFont val="Noto Sans CJK SC"/>
        <family val="2"/>
      </rPr>
      <t xml:space="preserve">で最大サイズまで拡張。既に最大の場合は </t>
    </r>
    <r>
      <rPr>
        <sz val="10"/>
        <rFont val="Meiryo UI"/>
        <family val="0"/>
        <charset val="1"/>
      </rPr>
      <t xml:space="preserve">NoChange </t>
    </r>
    <r>
      <rPr>
        <sz val="10"/>
        <rFont val="Noto Sans CJK SC"/>
        <family val="2"/>
      </rPr>
      <t xml:space="preserve">を返す冪等実装</t>
    </r>
  </si>
  <si>
    <r>
      <rPr>
        <sz val="10"/>
        <rFont val="Meiryo UI"/>
        <family val="0"/>
        <charset val="1"/>
      </rPr>
      <t xml:space="preserve">Lambda</t>
    </r>
    <r>
      <rPr>
        <sz val="10"/>
        <rFont val="Noto Sans CJK SC"/>
        <family val="2"/>
      </rPr>
      <t xml:space="preserve">実装（事前チェック／</t>
    </r>
    <r>
      <rPr>
        <sz val="10"/>
        <rFont val="Meiryo UI"/>
        <family val="0"/>
        <charset val="1"/>
      </rPr>
      <t xml:space="preserve">Stopper</t>
    </r>
    <r>
      <rPr>
        <sz val="10"/>
        <rFont val="Noto Sans CJK SC"/>
        <family val="2"/>
      </rPr>
      <t xml:space="preserve">判定）</t>
    </r>
  </si>
  <si>
    <r>
      <rPr>
        <sz val="10"/>
        <rFont val="Meiryo UI"/>
        <family val="0"/>
        <charset val="1"/>
      </rPr>
      <t xml:space="preserve">EventBridge</t>
    </r>
    <r>
      <rPr>
        <sz val="10"/>
        <rFont val="Noto Sans CJK SC"/>
        <family val="2"/>
      </rPr>
      <t xml:space="preserve">イベントから </t>
    </r>
    <r>
      <rPr>
        <sz val="10"/>
        <rFont val="Meiryo UI"/>
        <family val="0"/>
        <charset val="1"/>
      </rPr>
      <t xml:space="preserve">InstanceId</t>
    </r>
    <r>
      <rPr>
        <sz val="10"/>
        <rFont val="Noto Sans CJK SC"/>
        <family val="2"/>
      </rPr>
      <t xml:space="preserve">・ドライブレターを抽出、事前チェック</t>
    </r>
    <r>
      <rPr>
        <sz val="10"/>
        <rFont val="Meiryo UI"/>
        <family val="0"/>
        <charset val="1"/>
      </rPr>
      <t xml:space="preserve">Document</t>
    </r>
    <r>
      <rPr>
        <sz val="10"/>
        <rFont val="Noto Sans CJK SC"/>
        <family val="2"/>
      </rPr>
      <t xml:space="preserve">を実行、</t>
    </r>
    <r>
      <rPr>
        <sz val="10"/>
        <rFont val="Meiryo UI"/>
        <family val="0"/>
        <charset val="1"/>
      </rPr>
      <t xml:space="preserve">Parameter Store </t>
    </r>
    <r>
      <rPr>
        <sz val="10"/>
        <rFont val="Noto Sans CJK SC"/>
        <family val="2"/>
      </rPr>
      <t xml:space="preserve">から設定・状態を取得し容量上限／クールダウン／月次回数を判定。</t>
    </r>
    <r>
      <rPr>
        <sz val="10"/>
        <rFont val="Meiryo UI"/>
        <family val="0"/>
        <charset val="1"/>
      </rPr>
      <t xml:space="preserve">ModifyVolume </t>
    </r>
    <r>
      <rPr>
        <sz val="10"/>
        <rFont val="Noto Sans CJK SC"/>
        <family val="2"/>
      </rPr>
      <t xml:space="preserve">の</t>
    </r>
    <r>
      <rPr>
        <sz val="10"/>
        <rFont val="Meiryo UI"/>
        <family val="0"/>
        <charset val="1"/>
      </rPr>
      <t xml:space="preserve">6</t>
    </r>
    <r>
      <rPr>
        <sz val="10"/>
        <rFont val="Noto Sans CJK SC"/>
        <family val="2"/>
      </rPr>
      <t xml:space="preserve">時間制限も </t>
    </r>
    <r>
      <rPr>
        <sz val="10"/>
        <rFont val="Meiryo UI"/>
        <family val="0"/>
        <charset val="1"/>
      </rPr>
      <t xml:space="preserve">DescribeVolumesModifications </t>
    </r>
    <r>
      <rPr>
        <sz val="10"/>
        <rFont val="Noto Sans CJK SC"/>
        <family val="2"/>
      </rPr>
      <t xml:space="preserve">で事前確認</t>
    </r>
  </si>
  <si>
    <r>
      <rPr>
        <sz val="10"/>
        <rFont val="Meiryo UI"/>
        <family val="0"/>
        <charset val="1"/>
      </rPr>
      <t xml:space="preserve">Lambda</t>
    </r>
    <r>
      <rPr>
        <sz val="10"/>
        <rFont val="Noto Sans CJK SC"/>
        <family val="2"/>
      </rPr>
      <t xml:space="preserve">実装（</t>
    </r>
    <r>
      <rPr>
        <sz val="10"/>
        <rFont val="Meiryo UI"/>
        <family val="0"/>
        <charset val="1"/>
      </rPr>
      <t xml:space="preserve">EBS</t>
    </r>
    <r>
      <rPr>
        <sz val="10"/>
        <rFont val="Noto Sans CJK SC"/>
        <family val="2"/>
      </rPr>
      <t xml:space="preserve">拡張／状態更新／拡張完了待機）</t>
    </r>
  </si>
  <si>
    <r>
      <rPr>
        <sz val="10"/>
        <rFont val="Meiryo UI"/>
        <family val="0"/>
        <charset val="1"/>
      </rPr>
      <t xml:space="preserve">pending_resize=true </t>
    </r>
    <r>
      <rPr>
        <sz val="10"/>
        <rFont val="Noto Sans CJK SC"/>
        <family val="2"/>
      </rPr>
      <t xml:space="preserve">を先に記録してから </t>
    </r>
    <r>
      <rPr>
        <sz val="10"/>
        <rFont val="Meiryo UI"/>
        <family val="0"/>
        <charset val="1"/>
      </rPr>
      <t xml:space="preserve">ModifyVolume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+20GB</t>
    </r>
    <r>
      <rPr>
        <sz val="10"/>
        <rFont val="Noto Sans CJK SC"/>
        <family val="2"/>
      </rPr>
      <t xml:space="preserve">）を実行し拡張回数を加算。</t>
    </r>
    <r>
      <rPr>
        <sz val="10"/>
        <rFont val="Meiryo UI"/>
        <family val="0"/>
        <charset val="1"/>
      </rPr>
      <t xml:space="preserve">DescribeVolumesModifications </t>
    </r>
    <r>
      <rPr>
        <sz val="10"/>
        <rFont val="Noto Sans CJK SC"/>
        <family val="2"/>
      </rPr>
      <t xml:space="preserve">をポーリングし </t>
    </r>
    <r>
      <rPr>
        <sz val="10"/>
        <rFont val="Meiryo UI"/>
        <family val="0"/>
        <charset val="1"/>
      </rPr>
      <t xml:space="preserve">optimizing </t>
    </r>
    <r>
      <rPr>
        <sz val="10"/>
        <rFont val="Noto Sans CJK SC"/>
        <family val="2"/>
      </rPr>
      <t xml:space="preserve">または </t>
    </r>
    <r>
      <rPr>
        <sz val="10"/>
        <rFont val="Meiryo UI"/>
        <family val="0"/>
        <charset val="1"/>
      </rPr>
      <t xml:space="preserve">completed </t>
    </r>
    <r>
      <rPr>
        <sz val="10"/>
        <rFont val="Noto Sans CJK SC"/>
        <family val="2"/>
      </rPr>
      <t xml:space="preserve">を待機</t>
    </r>
  </si>
  <si>
    <r>
      <rPr>
        <sz val="10"/>
        <rFont val="Meiryo UI"/>
        <family val="0"/>
        <charset val="1"/>
      </rPr>
      <t xml:space="preserve">Lambda</t>
    </r>
    <r>
      <rPr>
        <sz val="10"/>
        <rFont val="Noto Sans CJK SC"/>
        <family val="2"/>
      </rPr>
      <t xml:space="preserve">実装（</t>
    </r>
    <r>
      <rPr>
        <sz val="10"/>
        <rFont val="Meiryo UI"/>
        <family val="0"/>
        <charset val="1"/>
      </rPr>
      <t xml:space="preserve">OS</t>
    </r>
    <r>
      <rPr>
        <sz val="10"/>
        <rFont val="Noto Sans CJK SC"/>
        <family val="2"/>
      </rPr>
      <t xml:space="preserve">拡張実行／結果通知）</t>
    </r>
  </si>
  <si>
    <r>
      <rPr>
        <sz val="10"/>
        <rFont val="Meiryo UI"/>
        <family val="0"/>
        <charset val="1"/>
      </rPr>
      <t xml:space="preserve">OS</t>
    </r>
    <r>
      <rPr>
        <sz val="10"/>
        <rFont val="Noto Sans CJK SC"/>
        <family val="2"/>
      </rPr>
      <t xml:space="preserve">拡張</t>
    </r>
    <r>
      <rPr>
        <sz val="10"/>
        <rFont val="Meiryo UI"/>
        <family val="0"/>
        <charset val="1"/>
      </rPr>
      <t xml:space="preserve">Document</t>
    </r>
    <r>
      <rPr>
        <sz val="10"/>
        <rFont val="Noto Sans CJK SC"/>
        <family val="2"/>
      </rPr>
      <t xml:space="preserve">を実行し結果を判定、</t>
    </r>
    <r>
      <rPr>
        <sz val="10"/>
        <rFont val="Meiryo UI"/>
        <family val="0"/>
        <charset val="1"/>
      </rPr>
      <t xml:space="preserve">pending_resize </t>
    </r>
    <r>
      <rPr>
        <sz val="10"/>
        <rFont val="Noto Sans CJK SC"/>
        <family val="2"/>
      </rPr>
      <t xml:space="preserve">をクリア。件名規約（</t>
    </r>
    <r>
      <rPr>
        <sz val="10"/>
        <rFont val="Meiryo UI"/>
        <family val="0"/>
        <charset val="1"/>
      </rPr>
      <t xml:space="preserve">[</t>
    </r>
    <r>
      <rPr>
        <sz val="10"/>
        <rFont val="Noto Sans CJK SC"/>
        <family val="2"/>
      </rPr>
      <t xml:space="preserve">環境</t>
    </r>
    <r>
      <rPr>
        <sz val="10"/>
        <rFont val="Meiryo UI"/>
        <family val="0"/>
        <charset val="1"/>
      </rPr>
      <t xml:space="preserve">][</t>
    </r>
    <r>
      <rPr>
        <sz val="10"/>
        <rFont val="Noto Sans CJK SC"/>
        <family val="2"/>
      </rPr>
      <t xml:space="preserve">重要度</t>
    </r>
    <r>
      <rPr>
        <sz val="10"/>
        <rFont val="Meiryo UI"/>
        <family val="0"/>
        <charset val="1"/>
      </rPr>
      <t xml:space="preserve">]</t>
    </r>
    <r>
      <rPr>
        <sz val="10"/>
        <rFont val="Noto Sans CJK SC"/>
        <family val="2"/>
      </rPr>
      <t xml:space="preserve">）に沿って</t>
    </r>
    <r>
      <rPr>
        <sz val="10"/>
        <rFont val="Meiryo UI"/>
        <family val="0"/>
        <charset val="1"/>
      </rPr>
      <t xml:space="preserve">SNS</t>
    </r>
    <r>
      <rPr>
        <sz val="10"/>
        <rFont val="Noto Sans CJK SC"/>
        <family val="2"/>
      </rPr>
      <t xml:space="preserve">へ通知</t>
    </r>
  </si>
  <si>
    <r>
      <rPr>
        <sz val="10"/>
        <rFont val="Meiryo UI"/>
        <family val="0"/>
        <charset val="1"/>
      </rPr>
      <t xml:space="preserve">Lambda</t>
    </r>
    <r>
      <rPr>
        <sz val="10"/>
        <rFont val="Noto Sans CJK SC"/>
        <family val="2"/>
      </rPr>
      <t xml:space="preserve">実装（未解決事象の再通知／自動復旧）</t>
    </r>
  </si>
  <si>
    <r>
      <rPr>
        <sz val="10"/>
        <rFont val="Noto Sans CJK SC"/>
        <family val="2"/>
      </rPr>
      <t xml:space="preserve">日次で </t>
    </r>
    <r>
      <rPr>
        <sz val="10"/>
        <rFont val="Meiryo UI"/>
        <family val="0"/>
        <charset val="1"/>
      </rPr>
      <t xml:space="preserve">Parameter Store </t>
    </r>
    <r>
      <rPr>
        <sz val="10"/>
        <rFont val="Noto Sans CJK SC"/>
        <family val="2"/>
      </rPr>
      <t xml:space="preserve">を走査し未解決事象（拡張失敗・上限到達・クールダウン中・本番通知のみ未対応）を再通知。</t>
    </r>
    <r>
      <rPr>
        <sz val="10"/>
        <rFont val="Meiryo UI"/>
        <family val="0"/>
        <charset val="1"/>
      </rPr>
      <t xml:space="preserve">15</t>
    </r>
    <r>
      <rPr>
        <sz val="10"/>
        <rFont val="Noto Sans CJK SC"/>
        <family val="2"/>
      </rPr>
      <t xml:space="preserve">分間隔で </t>
    </r>
    <r>
      <rPr>
        <sz val="10"/>
        <rFont val="Meiryo UI"/>
        <family val="0"/>
        <charset val="1"/>
      </rPr>
      <t xml:space="preserve">pending_resize=true </t>
    </r>
    <r>
      <rPr>
        <sz val="10"/>
        <rFont val="Noto Sans CJK SC"/>
        <family val="2"/>
      </rPr>
      <t xml:space="preserve">を検出し</t>
    </r>
    <r>
      <rPr>
        <sz val="10"/>
        <rFont val="Meiryo UI"/>
        <family val="0"/>
        <charset val="1"/>
      </rPr>
      <t xml:space="preserve">OS</t>
    </r>
    <r>
      <rPr>
        <sz val="10"/>
        <rFont val="Noto Sans CJK SC"/>
        <family val="2"/>
      </rPr>
      <t xml:space="preserve">拡張のみ再実行（</t>
    </r>
    <r>
      <rPr>
        <sz val="10"/>
        <rFont val="Meiryo UI"/>
        <family val="0"/>
        <charset val="1"/>
      </rPr>
      <t xml:space="preserve">EBS</t>
    </r>
    <r>
      <rPr>
        <sz val="10"/>
        <rFont val="Noto Sans CJK SC"/>
        <family val="2"/>
      </rPr>
      <t xml:space="preserve">には触れない）</t>
    </r>
  </si>
  <si>
    <t xml:space="preserve">前回障害の再発防止の中核</t>
  </si>
  <si>
    <r>
      <rPr>
        <sz val="10"/>
        <rFont val="Meiryo UI"/>
        <family val="0"/>
        <charset val="1"/>
      </rPr>
      <t xml:space="preserve">Step Functions </t>
    </r>
    <r>
      <rPr>
        <sz val="10"/>
        <rFont val="Noto Sans CJK SC"/>
        <family val="2"/>
      </rPr>
      <t xml:space="preserve">ステートマシン作成</t>
    </r>
  </si>
  <si>
    <r>
      <rPr>
        <sz val="10"/>
        <rFont val="Noto Sans CJK SC"/>
        <family val="2"/>
      </rPr>
      <t xml:space="preserve">事前チェック→</t>
    </r>
    <r>
      <rPr>
        <sz val="10"/>
        <rFont val="Meiryo UI"/>
        <family val="0"/>
        <charset val="1"/>
      </rPr>
      <t xml:space="preserve">Stopper</t>
    </r>
    <r>
      <rPr>
        <sz val="10"/>
        <rFont val="Noto Sans CJK SC"/>
        <family val="2"/>
      </rPr>
      <t xml:space="preserve">判定→</t>
    </r>
    <r>
      <rPr>
        <sz val="10"/>
        <rFont val="Meiryo UI"/>
        <family val="0"/>
        <charset val="1"/>
      </rPr>
      <t xml:space="preserve">EBS</t>
    </r>
    <r>
      <rPr>
        <sz val="10"/>
        <rFont val="Noto Sans CJK SC"/>
        <family val="2"/>
      </rPr>
      <t xml:space="preserve">拡張→待機→</t>
    </r>
    <r>
      <rPr>
        <sz val="10"/>
        <rFont val="Meiryo UI"/>
        <family val="0"/>
        <charset val="1"/>
      </rPr>
      <t xml:space="preserve">OS</t>
    </r>
    <r>
      <rPr>
        <sz val="10"/>
        <rFont val="Noto Sans CJK SC"/>
        <family val="2"/>
      </rPr>
      <t xml:space="preserve">拡張→通知の制御。</t>
    </r>
    <r>
      <rPr>
        <sz val="10"/>
        <rFont val="Meiryo UI"/>
        <family val="0"/>
        <charset val="1"/>
      </rPr>
      <t xml:space="preserve">OS</t>
    </r>
    <r>
      <rPr>
        <sz val="10"/>
        <rFont val="Noto Sans CJK SC"/>
        <family val="2"/>
      </rPr>
      <t xml:space="preserve">拡張ステップに </t>
    </r>
    <r>
      <rPr>
        <sz val="10"/>
        <rFont val="Meiryo UI"/>
        <family val="0"/>
        <charset val="1"/>
      </rPr>
      <t xml:space="preserve">Retry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30</t>
    </r>
    <r>
      <rPr>
        <sz val="10"/>
        <rFont val="Noto Sans CJK SC"/>
        <family val="2"/>
      </rPr>
      <t xml:space="preserve">秒／</t>
    </r>
    <r>
      <rPr>
        <sz val="10"/>
        <rFont val="Meiryo UI"/>
        <family val="0"/>
        <charset val="1"/>
      </rPr>
      <t xml:space="preserve">60</t>
    </r>
    <r>
      <rPr>
        <sz val="10"/>
        <rFont val="Noto Sans CJK SC"/>
        <family val="2"/>
      </rPr>
      <t xml:space="preserve">秒／</t>
    </r>
    <r>
      <rPr>
        <sz val="10"/>
        <rFont val="Meiryo UI"/>
        <family val="0"/>
        <charset val="1"/>
      </rPr>
      <t xml:space="preserve">120</t>
    </r>
    <r>
      <rPr>
        <sz val="10"/>
        <rFont val="Noto Sans CJK SC"/>
        <family val="2"/>
      </rPr>
      <t xml:space="preserve">秒）、各ステップに </t>
    </r>
    <r>
      <rPr>
        <sz val="10"/>
        <rFont val="Meiryo UI"/>
        <family val="0"/>
        <charset val="1"/>
      </rPr>
      <t xml:space="preserve">Catch </t>
    </r>
    <r>
      <rPr>
        <sz val="10"/>
        <rFont val="Noto Sans CJK SC"/>
        <family val="2"/>
      </rPr>
      <t xml:space="preserve">を設定</t>
    </r>
  </si>
  <si>
    <t xml:space="preserve">単体テスト・デバッグ</t>
  </si>
  <si>
    <r>
      <rPr>
        <sz val="10"/>
        <rFont val="Meiryo UI"/>
        <family val="0"/>
        <charset val="1"/>
      </rPr>
      <t xml:space="preserve">Lambda</t>
    </r>
    <r>
      <rPr>
        <sz val="10"/>
        <rFont val="Noto Sans CJK SC"/>
        <family val="2"/>
      </rPr>
      <t xml:space="preserve">単体・</t>
    </r>
    <r>
      <rPr>
        <sz val="10"/>
        <rFont val="Meiryo UI"/>
        <family val="0"/>
        <charset val="1"/>
      </rPr>
      <t xml:space="preserve">SSM Document</t>
    </r>
    <r>
      <rPr>
        <sz val="10"/>
        <rFont val="Noto Sans CJK SC"/>
        <family val="2"/>
      </rPr>
      <t xml:space="preserve">単体の動作確認、</t>
    </r>
    <r>
      <rPr>
        <sz val="10"/>
        <rFont val="Meiryo UI"/>
        <family val="0"/>
        <charset val="1"/>
      </rPr>
      <t xml:space="preserve">JSON</t>
    </r>
    <r>
      <rPr>
        <sz val="10"/>
        <rFont val="Noto Sans CJK SC"/>
        <family val="2"/>
      </rPr>
      <t xml:space="preserve">パース・状態遷移・例外処理の確認</t>
    </r>
  </si>
  <si>
    <t xml:space="preserve">④ テスト</t>
  </si>
  <si>
    <t xml:space="preserve">テスト仕様書作成</t>
  </si>
  <si>
    <r>
      <rPr>
        <sz val="10"/>
        <rFont val="Meiryo UI"/>
        <family val="0"/>
        <charset val="1"/>
      </rPr>
      <t xml:space="preserve">13</t>
    </r>
    <r>
      <rPr>
        <sz val="10"/>
        <rFont val="Noto Sans CJK SC"/>
        <family val="2"/>
      </rPr>
      <t xml:space="preserve">シナリオ（正常系／通知のみモード／手動</t>
    </r>
    <r>
      <rPr>
        <sz val="10"/>
        <rFont val="Meiryo UI"/>
        <family val="0"/>
        <charset val="1"/>
      </rPr>
      <t xml:space="preserve">Automation</t>
    </r>
    <r>
      <rPr>
        <sz val="10"/>
        <rFont val="Noto Sans CJK SC"/>
        <family val="2"/>
      </rPr>
      <t xml:space="preserve">／容量上限／クールダウン／月次回数／事前チェック</t>
    </r>
    <r>
      <rPr>
        <sz val="10"/>
        <rFont val="Meiryo UI"/>
        <family val="0"/>
        <charset val="1"/>
      </rPr>
      <t xml:space="preserve">NG</t>
    </r>
    <r>
      <rPr>
        <sz val="10"/>
        <rFont val="Noto Sans CJK SC"/>
        <family val="2"/>
      </rPr>
      <t xml:space="preserve">／中途半端状態からの復旧／自動復旧／未解決再通知／冪等性／通知振り分け／ウォッチドッグ）の手順と期待値を定義</t>
    </r>
  </si>
  <si>
    <r>
      <rPr>
        <sz val="10"/>
        <rFont val="Noto Sans CJK SC"/>
        <family val="2"/>
      </rPr>
      <t xml:space="preserve">テスト環境準備（テスト用</t>
    </r>
    <r>
      <rPr>
        <sz val="10"/>
        <rFont val="Meiryo UI"/>
        <family val="0"/>
        <charset val="1"/>
      </rPr>
      <t xml:space="preserve">10GB</t>
    </r>
    <r>
      <rPr>
        <sz val="10"/>
        <rFont val="Noto Sans CJK SC"/>
        <family val="2"/>
      </rPr>
      <t xml:space="preserve">ボリューム作成・設定）</t>
    </r>
  </si>
  <si>
    <r>
      <rPr>
        <sz val="10"/>
        <rFont val="Meiryo UI"/>
        <family val="0"/>
        <charset val="1"/>
      </rPr>
      <t xml:space="preserve">dev </t>
    </r>
    <r>
      <rPr>
        <sz val="10"/>
        <rFont val="Noto Sans CJK SC"/>
        <family val="2"/>
      </rPr>
      <t xml:space="preserve">に </t>
    </r>
    <r>
      <rPr>
        <sz val="10"/>
        <rFont val="Meiryo UI"/>
        <family val="0"/>
        <charset val="1"/>
      </rPr>
      <t xml:space="preserve">gp3 10GB </t>
    </r>
    <r>
      <rPr>
        <sz val="10"/>
        <rFont val="Noto Sans CJK SC"/>
        <family val="2"/>
      </rPr>
      <t xml:space="preserve">を追加アタッチし </t>
    </r>
    <r>
      <rPr>
        <sz val="10"/>
        <rFont val="Meiryo UI"/>
        <family val="0"/>
        <charset val="1"/>
      </rPr>
      <t xml:space="preserve">F: </t>
    </r>
    <r>
      <rPr>
        <sz val="10"/>
        <rFont val="Noto Sans CJK SC"/>
        <family val="2"/>
      </rPr>
      <t xml:space="preserve">として</t>
    </r>
    <r>
      <rPr>
        <sz val="10"/>
        <rFont val="Meiryo UI"/>
        <family val="0"/>
        <charset val="1"/>
      </rPr>
      <t xml:space="preserve">GPT</t>
    </r>
    <r>
      <rPr>
        <sz val="10"/>
        <rFont val="Noto Sans CJK SC"/>
        <family val="2"/>
      </rPr>
      <t xml:space="preserve">フォーマット、専用アラーム・</t>
    </r>
    <r>
      <rPr>
        <sz val="10"/>
        <rFont val="Meiryo UI"/>
        <family val="0"/>
        <charset val="1"/>
      </rPr>
      <t xml:space="preserve">Parameter Store </t>
    </r>
    <r>
      <rPr>
        <sz val="10"/>
        <rFont val="Noto Sans CJK SC"/>
        <family val="2"/>
      </rPr>
      <t xml:space="preserve">を設定。</t>
    </r>
    <r>
      <rPr>
        <sz val="10"/>
        <rFont val="Meiryo UI"/>
        <family val="0"/>
        <charset val="1"/>
      </rPr>
      <t xml:space="preserve">fsutil </t>
    </r>
    <r>
      <rPr>
        <sz val="10"/>
        <rFont val="Noto Sans CJK SC"/>
        <family val="2"/>
      </rPr>
      <t xml:space="preserve">で約</t>
    </r>
    <r>
      <rPr>
        <sz val="10"/>
        <rFont val="Meiryo UI"/>
        <family val="0"/>
        <charset val="1"/>
      </rPr>
      <t xml:space="preserve">9GB</t>
    </r>
    <r>
      <rPr>
        <sz val="10"/>
        <rFont val="Noto Sans CJK SC"/>
        <family val="2"/>
      </rPr>
      <t xml:space="preserve">のダミーを作成し閾値割れを再現</t>
    </r>
  </si>
  <si>
    <t xml:space="preserve">実ドライブ消費を回避</t>
  </si>
  <si>
    <r>
      <rPr>
        <sz val="10"/>
        <rFont val="Noto Sans CJK SC"/>
        <family val="2"/>
      </rPr>
      <t xml:space="preserve">結合テスト実施（正常系・</t>
    </r>
    <r>
      <rPr>
        <sz val="10"/>
        <rFont val="Meiryo UI"/>
        <family val="0"/>
        <charset val="1"/>
      </rPr>
      <t xml:space="preserve">Stopper</t>
    </r>
    <r>
      <rPr>
        <sz val="10"/>
        <rFont val="Noto Sans CJK SC"/>
        <family val="2"/>
      </rPr>
      <t xml:space="preserve">系）</t>
    </r>
  </si>
  <si>
    <r>
      <rPr>
        <sz val="10"/>
        <rFont val="Noto Sans CJK SC"/>
        <family val="2"/>
      </rPr>
      <t xml:space="preserve">閾値割れ→</t>
    </r>
    <r>
      <rPr>
        <sz val="10"/>
        <rFont val="Meiryo UI"/>
        <family val="0"/>
        <charset val="1"/>
      </rPr>
      <t xml:space="preserve">EBS</t>
    </r>
    <r>
      <rPr>
        <sz val="10"/>
        <rFont val="Noto Sans CJK SC"/>
        <family val="2"/>
      </rPr>
      <t xml:space="preserve">拡張→</t>
    </r>
    <r>
      <rPr>
        <sz val="10"/>
        <rFont val="Meiryo UI"/>
        <family val="0"/>
        <charset val="1"/>
      </rPr>
      <t xml:space="preserve">OS</t>
    </r>
    <r>
      <rPr>
        <sz val="10"/>
        <rFont val="Noto Sans CJK SC"/>
        <family val="2"/>
      </rPr>
      <t xml:space="preserve">拡張→通知の一連動作、容量上限・クールダウン・月次回数の各</t>
    </r>
    <r>
      <rPr>
        <sz val="10"/>
        <rFont val="Meiryo UI"/>
        <family val="0"/>
        <charset val="1"/>
      </rPr>
      <t xml:space="preserve">Stopper</t>
    </r>
    <r>
      <rPr>
        <sz val="10"/>
        <rFont val="Noto Sans CJK SC"/>
        <family val="2"/>
      </rPr>
      <t xml:space="preserve">発動を確認</t>
    </r>
  </si>
  <si>
    <t xml:space="preserve">結合テスト実施（異常系・復旧系）</t>
  </si>
  <si>
    <r>
      <rPr>
        <sz val="10"/>
        <rFont val="Meiryo UI"/>
        <family val="0"/>
        <charset val="1"/>
      </rPr>
      <t xml:space="preserve">SSM Agent</t>
    </r>
    <r>
      <rPr>
        <sz val="10"/>
        <rFont val="Noto Sans CJK SC"/>
        <family val="2"/>
      </rPr>
      <t xml:space="preserve">停止状態で</t>
    </r>
    <r>
      <rPr>
        <sz val="10"/>
        <rFont val="Meiryo UI"/>
        <family val="0"/>
        <charset val="1"/>
      </rPr>
      <t xml:space="preserve">EBS</t>
    </r>
    <r>
      <rPr>
        <sz val="10"/>
        <rFont val="Noto Sans CJK SC"/>
        <family val="2"/>
      </rPr>
      <t xml:space="preserve">が拡張されないこと、</t>
    </r>
    <r>
      <rPr>
        <sz val="10"/>
        <rFont val="Meiryo UI"/>
        <family val="0"/>
        <charset val="1"/>
      </rPr>
      <t xml:space="preserve">pending_resize=true</t>
    </r>
    <r>
      <rPr>
        <sz val="10"/>
        <rFont val="Noto Sans CJK SC"/>
        <family val="2"/>
      </rPr>
      <t xml:space="preserve">時に</t>
    </r>
    <r>
      <rPr>
        <sz val="10"/>
        <rFont val="Meiryo UI"/>
        <family val="0"/>
        <charset val="1"/>
      </rPr>
      <t xml:space="preserve">EBS</t>
    </r>
    <r>
      <rPr>
        <sz val="10"/>
        <rFont val="Noto Sans CJK SC"/>
        <family val="2"/>
      </rPr>
      <t xml:space="preserve">を拡張せず</t>
    </r>
    <r>
      <rPr>
        <sz val="10"/>
        <rFont val="Meiryo UI"/>
        <family val="0"/>
        <charset val="1"/>
      </rPr>
      <t xml:space="preserve">OS</t>
    </r>
    <r>
      <rPr>
        <sz val="10"/>
        <rFont val="Noto Sans CJK SC"/>
        <family val="2"/>
      </rPr>
      <t xml:space="preserve">拡張のみ動作すること（二重拡張防止）、自動復旧・日次再通知の動作を確認</t>
    </r>
  </si>
  <si>
    <r>
      <rPr>
        <sz val="10"/>
        <rFont val="Noto Sans CJK SC"/>
        <family val="2"/>
      </rPr>
      <t xml:space="preserve">事前チェック</t>
    </r>
    <r>
      <rPr>
        <sz val="10"/>
        <rFont val="Meiryo UI"/>
        <family val="0"/>
        <charset val="1"/>
      </rPr>
      <t xml:space="preserve">NG</t>
    </r>
    <r>
      <rPr>
        <sz val="10"/>
        <rFont val="Noto Sans CJK SC"/>
        <family val="2"/>
      </rPr>
      <t xml:space="preserve">／中途半端状態を重点確認</t>
    </r>
  </si>
  <si>
    <r>
      <rPr>
        <sz val="10"/>
        <rFont val="Noto Sans CJK SC"/>
        <family val="2"/>
      </rPr>
      <t xml:space="preserve">実ドライブでの最終確認（</t>
    </r>
    <r>
      <rPr>
        <sz val="10"/>
        <rFont val="Meiryo UI"/>
        <family val="0"/>
        <charset val="1"/>
      </rPr>
      <t xml:space="preserve">dev D: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</si>
  <si>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テスト用ボリュームではなく実際の対象ドライブで正常系を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回実施し、証跡を取得</t>
    </r>
  </si>
  <si>
    <r>
      <rPr>
        <sz val="10"/>
        <rFont val="Meiryo UI"/>
        <family val="0"/>
        <charset val="1"/>
      </rPr>
      <t xml:space="preserve">EBS</t>
    </r>
    <r>
      <rPr>
        <sz val="10"/>
        <rFont val="Noto Sans CJK SC"/>
        <family val="2"/>
      </rPr>
      <t xml:space="preserve">縮小不可のため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回のみ実施</t>
    </r>
  </si>
  <si>
    <t xml:space="preserve">⑤ 本番展開</t>
  </si>
  <si>
    <t xml:space="preserve">prd</t>
  </si>
  <si>
    <r>
      <rPr>
        <sz val="10"/>
        <rFont val="Noto Sans CJK SC"/>
        <family val="2"/>
      </rPr>
      <t xml:space="preserve">本番環境構築（</t>
    </r>
    <r>
      <rPr>
        <sz val="10"/>
        <rFont val="Meiryo UI"/>
        <family val="0"/>
        <charset val="1"/>
      </rPr>
      <t xml:space="preserve">Step Functions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Parameter Store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Lambda</t>
    </r>
    <r>
      <rPr>
        <sz val="10"/>
        <rFont val="Noto Sans CJK SC"/>
        <family val="2"/>
      </rPr>
      <t xml:space="preserve">等）</t>
    </r>
  </si>
  <si>
    <r>
      <rPr>
        <sz val="10"/>
        <rFont val="Noto Sans CJK SC"/>
        <family val="2"/>
      </rPr>
      <t xml:space="preserve">本番アカウント側への</t>
    </r>
    <r>
      <rPr>
        <sz val="10"/>
        <rFont val="Meiryo UI"/>
        <family val="0"/>
        <charset val="1"/>
      </rPr>
      <t xml:space="preserve">IAM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SNS</t>
    </r>
    <r>
      <rPr>
        <sz val="10"/>
        <rFont val="Noto Sans CJK SC"/>
        <family val="2"/>
      </rPr>
      <t xml:space="preserve">・アラーム・</t>
    </r>
    <r>
      <rPr>
        <sz val="10"/>
        <rFont val="Meiryo UI"/>
        <family val="0"/>
        <charset val="1"/>
      </rPr>
      <t xml:space="preserve">EventBridge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Lambda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Step Functions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SSM Document </t>
    </r>
    <r>
      <rPr>
        <sz val="10"/>
        <rFont val="Noto Sans CJK SC"/>
        <family val="2"/>
      </rPr>
      <t xml:space="preserve">の展開、</t>
    </r>
    <r>
      <rPr>
        <sz val="10"/>
        <rFont val="Meiryo UI"/>
        <family val="0"/>
        <charset val="1"/>
      </rPr>
      <t xml:space="preserve">Parameter Store </t>
    </r>
    <r>
      <rPr>
        <sz val="10"/>
        <rFont val="Noto Sans CJK SC"/>
        <family val="2"/>
      </rPr>
      <t xml:space="preserve">へ </t>
    </r>
    <r>
      <rPr>
        <sz val="10"/>
        <rFont val="Meiryo UI"/>
        <family val="0"/>
        <charset val="1"/>
      </rPr>
      <t xml:space="preserve">mode=notify_only </t>
    </r>
    <r>
      <rPr>
        <sz val="10"/>
        <rFont val="Noto Sans CJK SC"/>
        <family val="2"/>
      </rPr>
      <t xml:space="preserve">を設定。本番作業申請・作業手順書作成を含む</t>
    </r>
  </si>
  <si>
    <r>
      <rPr>
        <sz val="10"/>
        <rFont val="Meiryo UI"/>
        <family val="0"/>
        <charset val="1"/>
      </rPr>
      <t xml:space="preserve">A</t>
    </r>
    <r>
      <rPr>
        <sz val="10"/>
        <rFont val="Noto Sans CJK SC"/>
        <family val="2"/>
      </rPr>
      <t xml:space="preserve">案（本番は通知のみ）を前提</t>
    </r>
  </si>
  <si>
    <t xml:space="preserve">本番動作確認</t>
  </si>
  <si>
    <r>
      <rPr>
        <sz val="10"/>
        <rFont val="Noto Sans CJK SC"/>
        <family val="2"/>
      </rPr>
      <t xml:space="preserve">本番</t>
    </r>
    <r>
      <rPr>
        <sz val="10"/>
        <rFont val="Meiryo UI"/>
        <family val="0"/>
        <charset val="1"/>
      </rPr>
      <t xml:space="preserve">D: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E: </t>
    </r>
    <r>
      <rPr>
        <sz val="10"/>
        <rFont val="Noto Sans CJK SC"/>
        <family val="2"/>
      </rPr>
      <t xml:space="preserve">での事前チェック実行によるドライブ構成確認、閾値割れ時の通知到達確認、手動</t>
    </r>
    <r>
      <rPr>
        <sz val="10"/>
        <rFont val="Meiryo UI"/>
        <family val="0"/>
        <charset val="1"/>
      </rPr>
      <t xml:space="preserve">Automation</t>
    </r>
    <r>
      <rPr>
        <sz val="10"/>
        <rFont val="Noto Sans CJK SC"/>
        <family val="2"/>
      </rPr>
      <t xml:space="preserve">実行による拡張動作の確認</t>
    </r>
  </si>
  <si>
    <t xml:space="preserve">本番作業のため事前承認が必要</t>
  </si>
  <si>
    <t xml:space="preserve">運用手順書作成（手動実行／手動復旧／障害対応）</t>
  </si>
  <si>
    <r>
      <rPr>
        <sz val="10"/>
        <rFont val="Noto Sans CJK SC"/>
        <family val="2"/>
      </rPr>
      <t xml:space="preserve">通知受領時の判断基準、</t>
    </r>
    <r>
      <rPr>
        <sz val="10"/>
        <rFont val="Meiryo UI"/>
        <family val="0"/>
        <charset val="1"/>
      </rPr>
      <t xml:space="preserve">SSM Automation </t>
    </r>
    <r>
      <rPr>
        <sz val="10"/>
        <rFont val="Noto Sans CJK SC"/>
        <family val="2"/>
      </rPr>
      <t xml:space="preserve">の手動実行手順、中途半端状態からの手動復旧手順（</t>
    </r>
    <r>
      <rPr>
        <sz val="10"/>
        <rFont val="Meiryo UI"/>
        <family val="0"/>
        <charset val="1"/>
      </rPr>
      <t xml:space="preserve">Resize-Partition</t>
    </r>
    <r>
      <rPr>
        <sz val="10"/>
        <rFont val="Noto Sans CJK SC"/>
        <family val="2"/>
      </rPr>
      <t xml:space="preserve">＋</t>
    </r>
    <r>
      <rPr>
        <sz val="10"/>
        <rFont val="Meiryo UI"/>
        <family val="0"/>
        <charset val="1"/>
      </rPr>
      <t xml:space="preserve">Parameter Store</t>
    </r>
    <r>
      <rPr>
        <sz val="10"/>
        <rFont val="Noto Sans CJK SC"/>
        <family val="2"/>
      </rPr>
      <t xml:space="preserve">更新）、</t>
    </r>
    <r>
      <rPr>
        <sz val="10"/>
        <rFont val="Meiryo UI"/>
        <family val="0"/>
        <charset val="1"/>
      </rPr>
      <t xml:space="preserve">Stopper</t>
    </r>
    <r>
      <rPr>
        <sz val="10"/>
        <rFont val="Noto Sans CJK SC"/>
        <family val="2"/>
      </rPr>
      <t xml:space="preserve">発動時のエスカレーション手順を記載</t>
    </r>
  </si>
  <si>
    <r>
      <rPr>
        <sz val="10"/>
        <rFont val="Meiryo UI"/>
        <family val="0"/>
        <charset val="1"/>
      </rPr>
      <t xml:space="preserve">GDS</t>
    </r>
    <r>
      <rPr>
        <sz val="10"/>
        <rFont val="Noto Sans CJK SC"/>
        <family val="2"/>
      </rPr>
      <t xml:space="preserve">運用設計、運用手順更新</t>
    </r>
  </si>
  <si>
    <r>
      <rPr>
        <sz val="10"/>
        <rFont val="Meiryo UI"/>
        <family val="0"/>
        <charset val="1"/>
      </rPr>
      <t xml:space="preserve">GDS</t>
    </r>
    <r>
      <rPr>
        <sz val="10"/>
        <rFont val="Noto Sans CJK SC"/>
        <family val="2"/>
      </rPr>
      <t xml:space="preserve">側運用設計・手順更新</t>
    </r>
  </si>
  <si>
    <r>
      <rPr>
        <sz val="10"/>
        <rFont val="Noto Sans CJK SC"/>
        <family val="2"/>
      </rPr>
      <t xml:space="preserve">新設する通知（</t>
    </r>
    <r>
      <rPr>
        <sz val="10"/>
        <rFont val="Meiryo UI"/>
        <family val="0"/>
        <charset val="1"/>
      </rPr>
      <t xml:space="preserve">dph-info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dph-action</t>
    </r>
    <r>
      <rPr>
        <sz val="10"/>
        <rFont val="Noto Sans CJK SC"/>
        <family val="2"/>
      </rPr>
      <t xml:space="preserve">）と</t>
    </r>
    <r>
      <rPr>
        <sz val="10"/>
        <rFont val="Meiryo UI"/>
        <family val="0"/>
        <charset val="1"/>
      </rPr>
      <t xml:space="preserve">GDS</t>
    </r>
    <r>
      <rPr>
        <sz val="10"/>
        <rFont val="Noto Sans CJK SC"/>
        <family val="2"/>
      </rPr>
      <t xml:space="preserve">既存アラート運用の整理、一次対応・エスカレーションフローの更新、</t>
    </r>
    <r>
      <rPr>
        <sz val="10"/>
        <rFont val="Meiryo UI"/>
        <family val="0"/>
        <charset val="1"/>
      </rPr>
      <t xml:space="preserve">iNOC</t>
    </r>
    <r>
      <rPr>
        <sz val="10"/>
        <rFont val="Noto Sans CJK SC"/>
        <family val="2"/>
      </rPr>
      <t xml:space="preserve">向け運用手順への反映</t>
    </r>
  </si>
  <si>
    <t xml:space="preserve">⑥ プロジェクト管理</t>
  </si>
  <si>
    <t xml:space="preserve">進捗報告、定例対応、課題管理</t>
  </si>
  <si>
    <t xml:space="preserve">週次進捗報告、定例会議対応、課題・リスク管理、成果物のレビュー調整</t>
  </si>
  <si>
    <r>
      <rPr>
        <sz val="10"/>
        <rFont val="Noto Sans CJK SC"/>
        <family val="2"/>
      </rPr>
      <t xml:space="preserve">実施期間</t>
    </r>
    <r>
      <rPr>
        <sz val="10"/>
        <rFont val="Meiryo UI"/>
        <family val="0"/>
        <charset val="1"/>
      </rPr>
      <t xml:space="preserve">5</t>
    </r>
    <r>
      <rPr>
        <sz val="10"/>
        <rFont val="Noto Sans CJK SC"/>
        <family val="2"/>
      </rPr>
      <t xml:space="preserve">週間程度を想定</t>
    </r>
  </si>
  <si>
    <t xml:space="preserve">総合計</t>
  </si>
  <si>
    <t xml:space="preserve">【凡例】</t>
  </si>
  <si>
    <r>
      <rPr>
        <sz val="9"/>
        <rFont val="Noto Sans CJK SC"/>
        <family val="2"/>
      </rPr>
      <t xml:space="preserve">　・青字セル（</t>
    </r>
    <r>
      <rPr>
        <sz val="9"/>
        <rFont val="Meiryo UI"/>
        <family val="0"/>
        <charset val="1"/>
      </rPr>
      <t xml:space="preserve">H</t>
    </r>
    <r>
      <rPr>
        <sz val="9"/>
        <rFont val="Noto Sans CJK SC"/>
        <family val="2"/>
      </rPr>
      <t xml:space="preserve">列：工数</t>
    </r>
    <r>
      <rPr>
        <sz val="9"/>
        <rFont val="Meiryo UI"/>
        <family val="0"/>
        <charset val="1"/>
      </rPr>
      <t xml:space="preserve">(</t>
    </r>
    <r>
      <rPr>
        <sz val="9"/>
        <rFont val="Noto Sans CJK SC"/>
        <family val="2"/>
      </rPr>
      <t xml:space="preserve">人日</t>
    </r>
    <r>
      <rPr>
        <sz val="9"/>
        <rFont val="Meiryo UI"/>
        <family val="0"/>
        <charset val="1"/>
      </rPr>
      <t xml:space="preserve">) </t>
    </r>
    <r>
      <rPr>
        <sz val="9"/>
        <rFont val="Noto Sans CJK SC"/>
        <family val="2"/>
      </rPr>
      <t xml:space="preserve">原単位）が入力セルです。編集すると小計・総合計・工数</t>
    </r>
    <r>
      <rPr>
        <sz val="9"/>
        <rFont val="Meiryo UI"/>
        <family val="0"/>
        <charset val="1"/>
      </rPr>
      <t xml:space="preserve">(</t>
    </r>
    <r>
      <rPr>
        <sz val="9"/>
        <rFont val="Noto Sans CJK SC"/>
        <family val="2"/>
      </rPr>
      <t xml:space="preserve">時間</t>
    </r>
    <r>
      <rPr>
        <sz val="9"/>
        <rFont val="Meiryo UI"/>
        <family val="0"/>
        <charset val="1"/>
      </rPr>
      <t xml:space="preserve">)</t>
    </r>
    <r>
      <rPr>
        <sz val="9"/>
        <rFont val="Noto Sans CJK SC"/>
        <family val="2"/>
      </rPr>
      <t xml:space="preserve">が自動再計算されます。</t>
    </r>
  </si>
  <si>
    <r>
      <rPr>
        <sz val="9"/>
        <rFont val="Noto Sans CJK SC"/>
        <family val="2"/>
      </rPr>
      <t xml:space="preserve">　・工数</t>
    </r>
    <r>
      <rPr>
        <sz val="9"/>
        <rFont val="Meiryo UI"/>
        <family val="0"/>
        <charset val="1"/>
      </rPr>
      <t xml:space="preserve">(</t>
    </r>
    <r>
      <rPr>
        <sz val="9"/>
        <rFont val="Noto Sans CJK SC"/>
        <family val="2"/>
      </rPr>
      <t xml:space="preserve">時間</t>
    </r>
    <r>
      <rPr>
        <sz val="9"/>
        <rFont val="Meiryo UI"/>
        <family val="0"/>
        <charset val="1"/>
      </rPr>
      <t xml:space="preserve">) = </t>
    </r>
    <r>
      <rPr>
        <sz val="9"/>
        <rFont val="Noto Sans CJK SC"/>
        <family val="2"/>
      </rPr>
      <t xml:space="preserve">工数</t>
    </r>
    <r>
      <rPr>
        <sz val="9"/>
        <rFont val="Meiryo UI"/>
        <family val="0"/>
        <charset val="1"/>
      </rPr>
      <t xml:space="preserve">(</t>
    </r>
    <r>
      <rPr>
        <sz val="9"/>
        <rFont val="Noto Sans CJK SC"/>
        <family val="2"/>
      </rPr>
      <t xml:space="preserve">人日</t>
    </r>
    <r>
      <rPr>
        <sz val="9"/>
        <rFont val="Meiryo UI"/>
        <family val="0"/>
        <charset val="1"/>
      </rPr>
      <t xml:space="preserve">) × 8</t>
    </r>
    <r>
      <rPr>
        <sz val="9"/>
        <rFont val="Noto Sans CJK SC"/>
        <family val="2"/>
      </rPr>
      <t xml:space="preserve">時間</t>
    </r>
  </si>
  <si>
    <t xml:space="preserve">【前提条件】</t>
  </si>
  <si>
    <r>
      <rPr>
        <sz val="9"/>
        <rFont val="Noto Sans CJK SC"/>
        <family val="2"/>
      </rPr>
      <t xml:space="preserve">　・対象は </t>
    </r>
    <r>
      <rPr>
        <sz val="9"/>
        <rFont val="Meiryo UI"/>
        <family val="0"/>
        <charset val="1"/>
      </rPr>
      <t xml:space="preserve">nonsap-prd-dataspider / nonsap-dev-dataspider </t>
    </r>
    <r>
      <rPr>
        <sz val="9"/>
        <rFont val="Noto Sans CJK SC"/>
        <family val="2"/>
      </rPr>
      <t xml:space="preserve">の</t>
    </r>
    <r>
      <rPr>
        <sz val="9"/>
        <rFont val="Meiryo UI"/>
        <family val="0"/>
        <charset val="1"/>
      </rPr>
      <t xml:space="preserve">2</t>
    </r>
    <r>
      <rPr>
        <sz val="9"/>
        <rFont val="Noto Sans CJK SC"/>
        <family val="2"/>
      </rPr>
      <t xml:space="preserve">台、</t>
    </r>
    <r>
      <rPr>
        <sz val="9"/>
        <rFont val="Meiryo UI"/>
        <family val="0"/>
        <charset val="1"/>
      </rPr>
      <t xml:space="preserve">D:</t>
    </r>
    <r>
      <rPr>
        <sz val="9"/>
        <rFont val="Noto Sans CJK SC"/>
        <family val="2"/>
      </rPr>
      <t xml:space="preserve">／</t>
    </r>
    <r>
      <rPr>
        <sz val="9"/>
        <rFont val="Meiryo UI"/>
        <family val="0"/>
        <charset val="1"/>
      </rPr>
      <t xml:space="preserve">E: </t>
    </r>
    <r>
      <rPr>
        <sz val="9"/>
        <rFont val="Noto Sans CJK SC"/>
        <family val="2"/>
      </rPr>
      <t xml:space="preserve">の計</t>
    </r>
    <r>
      <rPr>
        <sz val="9"/>
        <rFont val="Meiryo UI"/>
        <family val="0"/>
        <charset val="1"/>
      </rPr>
      <t xml:space="preserve">4</t>
    </r>
    <r>
      <rPr>
        <sz val="9"/>
        <rFont val="Noto Sans CJK SC"/>
        <family val="2"/>
      </rPr>
      <t xml:space="preserve">ボリューム。</t>
    </r>
    <r>
      <rPr>
        <sz val="9"/>
        <rFont val="Meiryo UI"/>
        <family val="0"/>
        <charset val="1"/>
      </rPr>
      <t xml:space="preserve">C:</t>
    </r>
    <r>
      <rPr>
        <sz val="9"/>
        <rFont val="Noto Sans CJK SC"/>
        <family val="2"/>
      </rPr>
      <t xml:space="preserve">ドライブは対象外。</t>
    </r>
  </si>
  <si>
    <r>
      <rPr>
        <sz val="9"/>
        <rFont val="Noto Sans CJK SC"/>
        <family val="2"/>
      </rPr>
      <t xml:space="preserve">　・本見積は</t>
    </r>
    <r>
      <rPr>
        <sz val="9"/>
        <rFont val="Meiryo UI"/>
        <family val="0"/>
        <charset val="1"/>
      </rPr>
      <t xml:space="preserve">A</t>
    </r>
    <r>
      <rPr>
        <sz val="9"/>
        <rFont val="Noto Sans CJK SC"/>
        <family val="2"/>
      </rPr>
      <t xml:space="preserve">案（開発環境</t>
    </r>
    <r>
      <rPr>
        <sz val="9"/>
        <rFont val="Meiryo UI"/>
        <family val="0"/>
        <charset val="1"/>
      </rPr>
      <t xml:space="preserve">=</t>
    </r>
    <r>
      <rPr>
        <sz val="9"/>
        <rFont val="Noto Sans CJK SC"/>
        <family val="2"/>
      </rPr>
      <t xml:space="preserve">自動拡張／本番環境</t>
    </r>
    <r>
      <rPr>
        <sz val="9"/>
        <rFont val="Meiryo UI"/>
        <family val="0"/>
        <charset val="1"/>
      </rPr>
      <t xml:space="preserve">=</t>
    </r>
    <r>
      <rPr>
        <sz val="9"/>
        <rFont val="Noto Sans CJK SC"/>
        <family val="2"/>
      </rPr>
      <t xml:space="preserve">通知のみ）を前提とする。本番も自動化する</t>
    </r>
    <r>
      <rPr>
        <sz val="9"/>
        <rFont val="Meiryo UI"/>
        <family val="0"/>
        <charset val="1"/>
      </rPr>
      <t xml:space="preserve">B</t>
    </r>
    <r>
      <rPr>
        <sz val="9"/>
        <rFont val="Noto Sans CJK SC"/>
        <family val="2"/>
      </rPr>
      <t xml:space="preserve">案は「</t>
    </r>
    <r>
      <rPr>
        <sz val="9"/>
        <rFont val="Meiryo UI"/>
        <family val="0"/>
        <charset val="1"/>
      </rPr>
      <t xml:space="preserve">Phase2(</t>
    </r>
    <r>
      <rPr>
        <sz val="9"/>
        <rFont val="Noto Sans CJK SC"/>
        <family val="2"/>
      </rPr>
      <t xml:space="preserve">参考</t>
    </r>
    <r>
      <rPr>
        <sz val="9"/>
        <rFont val="Meiryo UI"/>
        <family val="0"/>
        <charset val="1"/>
      </rPr>
      <t xml:space="preserve">)</t>
    </r>
    <r>
      <rPr>
        <sz val="9"/>
        <rFont val="Noto Sans CJK SC"/>
        <family val="2"/>
      </rPr>
      <t xml:space="preserve">」シート参照。</t>
    </r>
  </si>
  <si>
    <r>
      <rPr>
        <sz val="9"/>
        <rFont val="Noto Sans CJK SC"/>
        <family val="2"/>
      </rPr>
      <t xml:space="preserve">　・既存の</t>
    </r>
    <r>
      <rPr>
        <sz val="9"/>
        <rFont val="Meiryo UI"/>
        <family val="0"/>
        <charset val="1"/>
      </rPr>
      <t xml:space="preserve">20%</t>
    </r>
    <r>
      <rPr>
        <sz val="9"/>
        <rFont val="Noto Sans CJK SC"/>
        <family val="2"/>
      </rPr>
      <t xml:space="preserve">メール通知は変更しない（新規の</t>
    </r>
    <r>
      <rPr>
        <sz val="9"/>
        <rFont val="Meiryo UI"/>
        <family val="0"/>
        <charset val="1"/>
      </rPr>
      <t xml:space="preserve">10%</t>
    </r>
    <r>
      <rPr>
        <sz val="9"/>
        <rFont val="Noto Sans CJK SC"/>
        <family val="2"/>
      </rPr>
      <t xml:space="preserve">アラームは独立経路で動作）。</t>
    </r>
  </si>
  <si>
    <r>
      <rPr>
        <sz val="9"/>
        <rFont val="Noto Sans CJK SC"/>
        <family val="2"/>
      </rPr>
      <t xml:space="preserve">　・</t>
    </r>
    <r>
      <rPr>
        <sz val="9"/>
        <rFont val="Meiryo UI"/>
        <family val="0"/>
        <charset val="1"/>
      </rPr>
      <t xml:space="preserve">Terraform</t>
    </r>
    <r>
      <rPr>
        <sz val="9"/>
        <rFont val="Noto Sans CJK SC"/>
        <family val="2"/>
      </rPr>
      <t xml:space="preserve">等の</t>
    </r>
    <r>
      <rPr>
        <sz val="9"/>
        <rFont val="Meiryo UI"/>
        <family val="0"/>
        <charset val="1"/>
      </rPr>
      <t xml:space="preserve">IaC</t>
    </r>
    <r>
      <rPr>
        <sz val="9"/>
        <rFont val="Noto Sans CJK SC"/>
        <family val="2"/>
      </rPr>
      <t xml:space="preserve">は使用せず、</t>
    </r>
    <r>
      <rPr>
        <sz val="9"/>
        <rFont val="Meiryo UI"/>
        <family val="0"/>
        <charset val="1"/>
      </rPr>
      <t xml:space="preserve">Console</t>
    </r>
    <r>
      <rPr>
        <sz val="9"/>
        <rFont val="Noto Sans CJK SC"/>
        <family val="2"/>
      </rPr>
      <t xml:space="preserve">での手動構築とする（構築手順書を成果物に含む）。</t>
    </r>
  </si>
  <si>
    <r>
      <rPr>
        <sz val="9"/>
        <rFont val="Noto Sans CJK SC"/>
        <family val="2"/>
      </rPr>
      <t xml:space="preserve">　・テストは費用抑制のためテスト専用ボリューム</t>
    </r>
    <r>
      <rPr>
        <sz val="9"/>
        <rFont val="Meiryo UI"/>
        <family val="0"/>
        <charset val="1"/>
      </rPr>
      <t xml:space="preserve">(10GB)</t>
    </r>
    <r>
      <rPr>
        <sz val="9"/>
        <rFont val="Noto Sans CJK SC"/>
        <family val="2"/>
      </rPr>
      <t xml:space="preserve">を用いる方式とする。</t>
    </r>
  </si>
  <si>
    <r>
      <rPr>
        <sz val="9"/>
        <rFont val="Noto Sans CJK SC"/>
        <family val="2"/>
      </rPr>
      <t xml:space="preserve">　・</t>
    </r>
    <r>
      <rPr>
        <sz val="9"/>
        <rFont val="Meiryo UI"/>
        <family val="0"/>
        <charset val="1"/>
      </rPr>
      <t xml:space="preserve">EBS</t>
    </r>
    <r>
      <rPr>
        <sz val="9"/>
        <rFont val="Noto Sans CJK SC"/>
        <family val="2"/>
      </rPr>
      <t xml:space="preserve">ボリュームは縮小できないため、テストで拡張した容量は元に戻せない（事前合意が必要）。</t>
    </r>
  </si>
  <si>
    <t xml:space="preserve">【本見積に含まれないもの】</t>
  </si>
  <si>
    <r>
      <rPr>
        <sz val="9"/>
        <rFont val="Noto Sans CJK SC"/>
        <family val="2"/>
      </rPr>
      <t xml:space="preserve">　・上記</t>
    </r>
    <r>
      <rPr>
        <sz val="9"/>
        <rFont val="Meiryo UI"/>
        <family val="0"/>
        <charset val="1"/>
      </rPr>
      <t xml:space="preserve">2</t>
    </r>
    <r>
      <rPr>
        <sz val="9"/>
        <rFont val="Noto Sans CJK SC"/>
        <family val="2"/>
      </rPr>
      <t xml:space="preserve">台以外のサーバへの展開、</t>
    </r>
    <r>
      <rPr>
        <sz val="9"/>
        <rFont val="Meiryo UI"/>
        <family val="0"/>
        <charset val="1"/>
      </rPr>
      <t xml:space="preserve">C:</t>
    </r>
    <r>
      <rPr>
        <sz val="9"/>
        <rFont val="Noto Sans CJK SC"/>
        <family val="2"/>
      </rPr>
      <t xml:space="preserve">ドライブの対応</t>
    </r>
  </si>
  <si>
    <r>
      <rPr>
        <sz val="9"/>
        <rFont val="Noto Sans CJK SC"/>
        <family val="2"/>
      </rPr>
      <t xml:space="preserve">　・</t>
    </r>
    <r>
      <rPr>
        <sz val="9"/>
        <rFont val="Meiryo UI"/>
        <family val="0"/>
        <charset val="1"/>
      </rPr>
      <t xml:space="preserve">Teams</t>
    </r>
    <r>
      <rPr>
        <sz val="9"/>
        <rFont val="Noto Sans CJK SC"/>
        <family val="2"/>
      </rPr>
      <t xml:space="preserve">連携（</t>
    </r>
    <r>
      <rPr>
        <sz val="9"/>
        <rFont val="Meiryo UI"/>
        <family val="0"/>
        <charset val="1"/>
      </rPr>
      <t xml:space="preserve">AWS Chatbot</t>
    </r>
    <r>
      <rPr>
        <sz val="9"/>
        <rFont val="Noto Sans CJK SC"/>
        <family val="2"/>
      </rPr>
      <t xml:space="preserve">）※必要な場合は追加</t>
    </r>
    <r>
      <rPr>
        <sz val="9"/>
        <rFont val="Meiryo UI"/>
        <family val="0"/>
        <charset val="1"/>
      </rPr>
      <t xml:space="preserve">0.5</t>
    </r>
    <r>
      <rPr>
        <sz val="9"/>
        <rFont val="Noto Sans CJK SC"/>
        <family val="2"/>
      </rPr>
      <t xml:space="preserve">人日</t>
    </r>
  </si>
  <si>
    <r>
      <rPr>
        <sz val="9"/>
        <rFont val="Noto Sans CJK SC"/>
        <family val="2"/>
      </rPr>
      <t xml:space="preserve">　・</t>
    </r>
    <r>
      <rPr>
        <sz val="9"/>
        <rFont val="Meiryo UI"/>
        <family val="0"/>
        <charset val="1"/>
      </rPr>
      <t xml:space="preserve">IaC</t>
    </r>
    <r>
      <rPr>
        <sz val="9"/>
        <rFont val="Noto Sans CJK SC"/>
        <family val="2"/>
      </rPr>
      <t xml:space="preserve">（</t>
    </r>
    <r>
      <rPr>
        <sz val="9"/>
        <rFont val="Meiryo UI"/>
        <family val="0"/>
        <charset val="1"/>
      </rPr>
      <t xml:space="preserve">CloudFormation</t>
    </r>
    <r>
      <rPr>
        <sz val="9"/>
        <rFont val="Noto Sans CJK SC"/>
        <family val="2"/>
      </rPr>
      <t xml:space="preserve">／</t>
    </r>
    <r>
      <rPr>
        <sz val="9"/>
        <rFont val="Meiryo UI"/>
        <family val="0"/>
        <charset val="1"/>
      </rPr>
      <t xml:space="preserve">Terraform</t>
    </r>
    <r>
      <rPr>
        <sz val="9"/>
        <rFont val="Noto Sans CJK SC"/>
        <family val="2"/>
      </rPr>
      <t xml:space="preserve">）化</t>
    </r>
  </si>
  <si>
    <r>
      <rPr>
        <b val="true"/>
        <sz val="14"/>
        <rFont val="Meiryo UI"/>
        <family val="0"/>
        <charset val="1"/>
      </rPr>
      <t xml:space="preserve">Phase2 </t>
    </r>
    <r>
      <rPr>
        <b val="true"/>
        <sz val="14"/>
        <rFont val="Noto Sans CJK SC"/>
        <family val="2"/>
      </rPr>
      <t xml:space="preserve">追加見積り（参考）</t>
    </r>
  </si>
  <si>
    <r>
      <rPr>
        <sz val="10"/>
        <rFont val="Meiryo UI"/>
        <family val="0"/>
        <charset val="1"/>
      </rPr>
      <t xml:space="preserve">B</t>
    </r>
    <r>
      <rPr>
        <sz val="10"/>
        <rFont val="Noto Sans CJK SC"/>
        <family val="2"/>
      </rPr>
      <t xml:space="preserve">案：本番環境も自動拡張（</t>
    </r>
    <r>
      <rPr>
        <sz val="10"/>
        <rFont val="Meiryo UI"/>
        <family val="0"/>
        <charset val="1"/>
      </rPr>
      <t xml:space="preserve">SSM Change Calendar </t>
    </r>
    <r>
      <rPr>
        <sz val="10"/>
        <rFont val="Noto Sans CJK SC"/>
        <family val="2"/>
      </rPr>
      <t xml:space="preserve">による時間帯制御＋緊急オーバーライド）</t>
    </r>
  </si>
  <si>
    <r>
      <rPr>
        <sz val="9"/>
        <color rgb="FFC00000"/>
        <rFont val="Meiryo UI"/>
        <family val="0"/>
        <charset val="1"/>
      </rPr>
      <t xml:space="preserve">※ Phase1</t>
    </r>
    <r>
      <rPr>
        <sz val="9"/>
        <color rgb="FFC00000"/>
        <rFont val="Noto Sans CJK SC"/>
        <family val="2"/>
      </rPr>
      <t xml:space="preserve">の総合計には含みません。次期提案用の参考値です。</t>
    </r>
  </si>
  <si>
    <r>
      <rPr>
        <sz val="10"/>
        <rFont val="Meiryo UI"/>
        <family val="0"/>
        <charset val="1"/>
      </rPr>
      <t xml:space="preserve">DataSpider</t>
    </r>
    <r>
      <rPr>
        <sz val="10"/>
        <rFont val="Noto Sans CJK SC"/>
        <family val="2"/>
      </rPr>
      <t xml:space="preserve">ディスク自動拡張（本番自動化）</t>
    </r>
  </si>
  <si>
    <r>
      <rPr>
        <sz val="10"/>
        <rFont val="Noto Sans CJK SC"/>
        <family val="2"/>
      </rPr>
      <t xml:space="preserve">追加設計（</t>
    </r>
    <r>
      <rPr>
        <sz val="10"/>
        <rFont val="Meiryo UI"/>
        <family val="0"/>
        <charset val="1"/>
      </rPr>
      <t xml:space="preserve">Change Calendar</t>
    </r>
    <r>
      <rPr>
        <sz val="10"/>
        <rFont val="Noto Sans CJK SC"/>
        <family val="2"/>
      </rPr>
      <t xml:space="preserve">／緊急オーバーライド／</t>
    </r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段階閾値）</t>
    </r>
  </si>
  <si>
    <r>
      <rPr>
        <sz val="10"/>
        <rFont val="Noto Sans CJK SC"/>
        <family val="2"/>
      </rPr>
      <t xml:space="preserve">営業時間内は</t>
    </r>
    <r>
      <rPr>
        <sz val="10"/>
        <rFont val="Meiryo UI"/>
        <family val="0"/>
        <charset val="1"/>
      </rPr>
      <t xml:space="preserve">CLOSED</t>
    </r>
    <r>
      <rPr>
        <sz val="10"/>
        <rFont val="Noto Sans CJK SC"/>
        <family val="2"/>
      </rPr>
      <t xml:space="preserve">（通知のみ）、時間外は</t>
    </r>
    <r>
      <rPr>
        <sz val="10"/>
        <rFont val="Meiryo UI"/>
        <family val="0"/>
        <charset val="1"/>
      </rPr>
      <t xml:space="preserve">OPEN</t>
    </r>
    <r>
      <rPr>
        <sz val="10"/>
        <rFont val="Noto Sans CJK SC"/>
        <family val="2"/>
      </rPr>
      <t xml:space="preserve">（自動拡張）とする制御方式の設計。営業時間内の急速な容量増加に対応するため、空き</t>
    </r>
    <r>
      <rPr>
        <sz val="10"/>
        <rFont val="Meiryo UI"/>
        <family val="0"/>
        <charset val="1"/>
      </rPr>
      <t xml:space="preserve">5%</t>
    </r>
    <r>
      <rPr>
        <sz val="10"/>
        <rFont val="Noto Sans CJK SC"/>
        <family val="2"/>
      </rPr>
      <t xml:space="preserve">未満はカレンダーを無視して即時拡張する緊急オーバーライドを設計</t>
    </r>
  </si>
  <si>
    <r>
      <rPr>
        <sz val="10"/>
        <rFont val="Meiryo UI"/>
        <family val="0"/>
        <charset val="1"/>
      </rPr>
      <t xml:space="preserve">SSM Change Calendar </t>
    </r>
    <r>
      <rPr>
        <sz val="10"/>
        <rFont val="Noto Sans CJK SC"/>
        <family val="2"/>
      </rPr>
      <t xml:space="preserve">作成・営業日／祝日登録</t>
    </r>
  </si>
  <si>
    <r>
      <rPr>
        <sz val="10"/>
        <rFont val="Meiryo UI"/>
        <family val="0"/>
        <charset val="1"/>
      </rPr>
      <t xml:space="preserve">DEFAULT_CLOSED </t>
    </r>
    <r>
      <rPr>
        <sz val="10"/>
        <rFont val="Noto Sans CJK SC"/>
        <family val="2"/>
      </rPr>
      <t xml:space="preserve">カレンダーを作成し、営業時間外・休日を</t>
    </r>
    <r>
      <rPr>
        <sz val="10"/>
        <rFont val="Meiryo UI"/>
        <family val="0"/>
        <charset val="1"/>
      </rPr>
      <t xml:space="preserve">OPEN</t>
    </r>
    <r>
      <rPr>
        <sz val="10"/>
        <rFont val="Noto Sans CJK SC"/>
        <family val="2"/>
      </rPr>
      <t xml:space="preserve">として登録</t>
    </r>
  </si>
  <si>
    <t xml:space="preserve">祝日メンテは運用タスクとして残る</t>
  </si>
  <si>
    <r>
      <rPr>
        <sz val="10"/>
        <rFont val="Meiryo UI"/>
        <family val="0"/>
        <charset val="1"/>
      </rPr>
      <t xml:space="preserve">CloudWatch</t>
    </r>
    <r>
      <rPr>
        <sz val="10"/>
        <rFont val="Noto Sans CJK SC"/>
        <family val="2"/>
      </rPr>
      <t xml:space="preserve">アラーム追加（</t>
    </r>
    <r>
      <rPr>
        <sz val="10"/>
        <rFont val="Meiryo UI"/>
        <family val="0"/>
        <charset val="1"/>
      </rPr>
      <t xml:space="preserve">5%</t>
    </r>
    <r>
      <rPr>
        <sz val="10"/>
        <rFont val="Noto Sans CJK SC"/>
        <family val="2"/>
      </rPr>
      <t xml:space="preserve">閾値 </t>
    </r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本）</t>
    </r>
  </si>
  <si>
    <r>
      <rPr>
        <sz val="10"/>
        <rFont val="Noto Sans CJK SC"/>
        <family val="2"/>
      </rPr>
      <t xml:space="preserve">緊急オーバーライド用の空き</t>
    </r>
    <r>
      <rPr>
        <sz val="10"/>
        <rFont val="Meiryo UI"/>
        <family val="0"/>
        <charset val="1"/>
      </rPr>
      <t xml:space="preserve">5%</t>
    </r>
    <r>
      <rPr>
        <sz val="10"/>
        <rFont val="Noto Sans CJK SC"/>
        <family val="2"/>
      </rPr>
      <t xml:space="preserve">未満アラームを</t>
    </r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台</t>
    </r>
    <r>
      <rPr>
        <sz val="10"/>
        <rFont val="Meiryo UI"/>
        <family val="0"/>
        <charset val="1"/>
      </rPr>
      <t xml:space="preserve">×2</t>
    </r>
    <r>
      <rPr>
        <sz val="10"/>
        <rFont val="Noto Sans CJK SC"/>
        <family val="2"/>
      </rPr>
      <t xml:space="preserve">ドライブ分作成</t>
    </r>
  </si>
  <si>
    <r>
      <rPr>
        <sz val="10"/>
        <rFont val="Meiryo UI"/>
        <family val="0"/>
        <charset val="1"/>
      </rPr>
      <t xml:space="preserve">Lambda</t>
    </r>
    <r>
      <rPr>
        <sz val="10"/>
        <rFont val="Noto Sans CJK SC"/>
        <family val="2"/>
      </rPr>
      <t xml:space="preserve">改修（カレンダー判定／緊急分岐）</t>
    </r>
  </si>
  <si>
    <r>
      <rPr>
        <sz val="10"/>
        <rFont val="Meiryo UI"/>
        <family val="0"/>
        <charset val="1"/>
      </rPr>
      <t xml:space="preserve">ssm:GetCalendarState </t>
    </r>
    <r>
      <rPr>
        <sz val="10"/>
        <rFont val="Noto Sans CJK SC"/>
        <family val="2"/>
      </rPr>
      <t xml:space="preserve">で</t>
    </r>
    <r>
      <rPr>
        <sz val="10"/>
        <rFont val="Meiryo UI"/>
        <family val="0"/>
        <charset val="1"/>
      </rPr>
      <t xml:space="preserve">OPEN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CLOSED</t>
    </r>
    <r>
      <rPr>
        <sz val="10"/>
        <rFont val="Noto Sans CJK SC"/>
        <family val="2"/>
      </rPr>
      <t xml:space="preserve">を判定し、閾値レベルに応じて拡張実行／通知のみを分岐する処理を追加</t>
    </r>
  </si>
  <si>
    <t xml:space="preserve">テスト（追加シナリオ・カレンダー境界値）</t>
  </si>
  <si>
    <r>
      <rPr>
        <sz val="10"/>
        <rFont val="Meiryo UI"/>
        <family val="0"/>
        <charset val="1"/>
      </rPr>
      <t xml:space="preserve">OPEN</t>
    </r>
    <r>
      <rPr>
        <sz val="10"/>
        <rFont val="Noto Sans CJK SC"/>
        <family val="2"/>
      </rPr>
      <t xml:space="preserve">時の自動拡張、</t>
    </r>
    <r>
      <rPr>
        <sz val="10"/>
        <rFont val="Meiryo UI"/>
        <family val="0"/>
        <charset val="1"/>
      </rPr>
      <t xml:space="preserve">CLOSED</t>
    </r>
    <r>
      <rPr>
        <sz val="10"/>
        <rFont val="Noto Sans CJK SC"/>
        <family val="2"/>
      </rPr>
      <t xml:space="preserve">時の通知のみ、</t>
    </r>
    <r>
      <rPr>
        <sz val="10"/>
        <rFont val="Meiryo UI"/>
        <family val="0"/>
        <charset val="1"/>
      </rPr>
      <t xml:space="preserve">CLOSED</t>
    </r>
    <r>
      <rPr>
        <sz val="10"/>
        <rFont val="Noto Sans CJK SC"/>
        <family val="2"/>
      </rPr>
      <t xml:space="preserve">かつ</t>
    </r>
    <r>
      <rPr>
        <sz val="10"/>
        <rFont val="Meiryo UI"/>
        <family val="0"/>
        <charset val="1"/>
      </rPr>
      <t xml:space="preserve">5%</t>
    </r>
    <r>
      <rPr>
        <sz val="10"/>
        <rFont val="Noto Sans CJK SC"/>
        <family val="2"/>
      </rPr>
      <t xml:space="preserve">未満時の緊急拡張、営業時間の境界値（開始／終了時刻直前直後）を確認</t>
    </r>
  </si>
  <si>
    <t xml:space="preserve">本番自動化への切替・動作確認</t>
  </si>
  <si>
    <r>
      <rPr>
        <sz val="10"/>
        <rFont val="Meiryo UI"/>
        <family val="0"/>
        <charset val="1"/>
      </rPr>
      <t xml:space="preserve">Parameter Store </t>
    </r>
    <r>
      <rPr>
        <sz val="10"/>
        <rFont val="Noto Sans CJK SC"/>
        <family val="2"/>
      </rPr>
      <t xml:space="preserve">の </t>
    </r>
    <r>
      <rPr>
        <sz val="10"/>
        <rFont val="Meiryo UI"/>
        <family val="0"/>
        <charset val="1"/>
      </rPr>
      <t xml:space="preserve">mode </t>
    </r>
    <r>
      <rPr>
        <sz val="10"/>
        <rFont val="Noto Sans CJK SC"/>
        <family val="2"/>
      </rPr>
      <t xml:space="preserve">を </t>
    </r>
    <r>
      <rPr>
        <sz val="10"/>
        <rFont val="Meiryo UI"/>
        <family val="0"/>
        <charset val="1"/>
      </rPr>
      <t xml:space="preserve">notify_only </t>
    </r>
    <r>
      <rPr>
        <sz val="10"/>
        <rFont val="Noto Sans CJK SC"/>
        <family val="2"/>
      </rPr>
      <t xml:space="preserve">から </t>
    </r>
    <r>
      <rPr>
        <sz val="10"/>
        <rFont val="Meiryo UI"/>
        <family val="0"/>
        <charset val="1"/>
      </rPr>
      <t xml:space="preserve">auto </t>
    </r>
    <r>
      <rPr>
        <sz val="10"/>
        <rFont val="Noto Sans CJK SC"/>
        <family val="2"/>
      </rPr>
      <t xml:space="preserve">へ変更し、本番での動作確認を実施</t>
    </r>
  </si>
  <si>
    <t xml:space="preserve">運用手順書改訂・結果報告</t>
  </si>
  <si>
    <r>
      <rPr>
        <sz val="10"/>
        <rFont val="Noto Sans CJK SC"/>
        <family val="2"/>
      </rPr>
      <t xml:space="preserve">自動化後の運用手順（カレンダー保守手順を含む）へ改訂、</t>
    </r>
    <r>
      <rPr>
        <sz val="10"/>
        <rFont val="Meiryo UI"/>
        <family val="0"/>
        <charset val="1"/>
      </rPr>
      <t xml:space="preserve">Phase1</t>
    </r>
    <r>
      <rPr>
        <sz val="10"/>
        <rFont val="Noto Sans CJK SC"/>
        <family val="2"/>
      </rPr>
      <t xml:space="preserve">の運用実績を含めた報告資料作成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</si>
</sst>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##"/>
    <numFmt numFmtId="166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b val="true"/>
      <sz val="10"/>
      <name val="Meiryo UI"/>
      <family val="0"/>
      <charset val="1"/>
    </font>
    <font>
      <sz val="10"/>
      <name val="Noto Sans CJK SC"/>
      <family val="2"/>
    </font>
    <font>
      <sz val="10"/>
      <name val="Meiryo UI"/>
      <family val="0"/>
      <charset val="1"/>
    </font>
    <font>
      <sz val="10"/>
      <color rgb="FF0000FF"/>
      <name val="Meiryo UI"/>
      <family val="0"/>
      <charset val="1"/>
    </font>
    <font>
      <b val="true"/>
      <sz val="9"/>
      <name val="Noto Sans CJK SC"/>
      <family val="2"/>
    </font>
    <font>
      <sz val="9"/>
      <name val="Noto Sans CJK SC"/>
      <family val="2"/>
    </font>
    <font>
      <sz val="9"/>
      <name val="Meiryo UI"/>
      <family val="0"/>
      <charset val="1"/>
    </font>
    <font>
      <b val="true"/>
      <sz val="14"/>
      <name val="Meiryo UI"/>
      <family val="0"/>
      <charset val="1"/>
    </font>
    <font>
      <sz val="9"/>
      <color rgb="FFC00000"/>
      <name val="Meiryo UI"/>
      <family val="0"/>
      <charset val="1"/>
    </font>
    <font>
      <sz val="9"/>
      <color rgb="FFC0000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7"/>
    <col collapsed="false" customWidth="true" hidden="false" outlineLevel="0" max="5" min="5" style="0" width="38"/>
    <col collapsed="false" customWidth="true" hidden="false" outlineLevel="0" max="6" min="6" style="0" width="62"/>
    <col collapsed="false" customWidth="true" hidden="false" outlineLevel="0" max="7" min="7" style="0" width="26"/>
    <col collapsed="false" customWidth="true" hidden="false" outlineLevel="0" max="11" min="8" style="0" width="8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/>
      <c r="J4" s="2" t="s">
        <v>8</v>
      </c>
      <c r="K4" s="2"/>
    </row>
    <row r="5" customFormat="false" ht="15" hidden="false" customHeight="false" outlineLevel="0" collapsed="false">
      <c r="B5" s="2"/>
      <c r="C5" s="2"/>
      <c r="D5" s="2"/>
      <c r="E5" s="2"/>
      <c r="F5" s="2"/>
      <c r="G5" s="2"/>
      <c r="H5" s="2" t="s">
        <v>9</v>
      </c>
      <c r="I5" s="2" t="s">
        <v>10</v>
      </c>
      <c r="J5" s="2" t="s">
        <v>9</v>
      </c>
      <c r="K5" s="2" t="s">
        <v>10</v>
      </c>
    </row>
    <row r="6" customFormat="false" ht="57.75" hidden="false" customHeight="true" outlineLevel="0" collapsed="false">
      <c r="B6" s="3" t="s">
        <v>11</v>
      </c>
      <c r="C6" s="3" t="s">
        <v>12</v>
      </c>
      <c r="D6" s="4" t="s">
        <v>13</v>
      </c>
      <c r="E6" s="3" t="s">
        <v>14</v>
      </c>
      <c r="F6" s="5" t="s">
        <v>15</v>
      </c>
      <c r="G6" s="3" t="s">
        <v>16</v>
      </c>
      <c r="H6" s="6" t="n">
        <v>0.5</v>
      </c>
      <c r="I6" s="7"/>
      <c r="J6" s="8" t="n">
        <f aca="false">H6*8</f>
        <v>4</v>
      </c>
      <c r="K6" s="8"/>
    </row>
    <row r="7" customFormat="false" ht="57.75" hidden="false" customHeight="true" outlineLevel="0" collapsed="false">
      <c r="B7" s="3"/>
      <c r="C7" s="3"/>
      <c r="D7" s="4"/>
      <c r="E7" s="3" t="s">
        <v>17</v>
      </c>
      <c r="F7" s="3" t="s">
        <v>18</v>
      </c>
      <c r="G7" s="3"/>
      <c r="H7" s="6" t="n">
        <v>2</v>
      </c>
      <c r="I7" s="7"/>
      <c r="J7" s="8" t="n">
        <f aca="false">H7*8</f>
        <v>16</v>
      </c>
      <c r="K7" s="8"/>
    </row>
    <row r="8" customFormat="false" ht="57.75" hidden="false" customHeight="true" outlineLevel="0" collapsed="false">
      <c r="B8" s="3"/>
      <c r="C8" s="3"/>
      <c r="D8" s="4"/>
      <c r="E8" s="3" t="s">
        <v>19</v>
      </c>
      <c r="F8" s="3" t="s">
        <v>20</v>
      </c>
      <c r="G8" s="3" t="s">
        <v>21</v>
      </c>
      <c r="H8" s="6" t="n">
        <v>1</v>
      </c>
      <c r="I8" s="7"/>
      <c r="J8" s="8" t="n">
        <f aca="false">H8*8</f>
        <v>8</v>
      </c>
      <c r="K8" s="8"/>
    </row>
    <row r="9" customFormat="false" ht="57.75" hidden="false" customHeight="true" outlineLevel="0" collapsed="false">
      <c r="B9" s="3"/>
      <c r="C9" s="3"/>
      <c r="D9" s="4"/>
      <c r="E9" s="3" t="s">
        <v>22</v>
      </c>
      <c r="F9" s="3" t="s">
        <v>23</v>
      </c>
      <c r="G9" s="3" t="s">
        <v>24</v>
      </c>
      <c r="H9" s="6" t="n">
        <v>0.5</v>
      </c>
      <c r="I9" s="9" t="n">
        <f aca="false">SUM(H6:H9)</f>
        <v>4</v>
      </c>
      <c r="J9" s="8" t="n">
        <f aca="false">H9*8</f>
        <v>4</v>
      </c>
      <c r="K9" s="10" t="n">
        <f aca="false">SUM(J6:J9)</f>
        <v>32</v>
      </c>
    </row>
    <row r="10" customFormat="false" ht="57.75" hidden="false" customHeight="true" outlineLevel="0" collapsed="false">
      <c r="B10" s="3"/>
      <c r="C10" s="5" t="s">
        <v>25</v>
      </c>
      <c r="D10" s="11" t="s">
        <v>26</v>
      </c>
      <c r="E10" s="5" t="s">
        <v>27</v>
      </c>
      <c r="F10" s="5" t="s">
        <v>28</v>
      </c>
      <c r="G10" s="3"/>
      <c r="H10" s="6" t="n">
        <v>0.5</v>
      </c>
      <c r="I10" s="7"/>
      <c r="J10" s="8" t="n">
        <f aca="false">H10*8</f>
        <v>4</v>
      </c>
      <c r="K10" s="8"/>
    </row>
    <row r="11" customFormat="false" ht="57.75" hidden="false" customHeight="true" outlineLevel="0" collapsed="false">
      <c r="B11" s="3"/>
      <c r="C11" s="3"/>
      <c r="D11" s="11"/>
      <c r="E11" s="5" t="s">
        <v>29</v>
      </c>
      <c r="F11" s="5" t="s">
        <v>30</v>
      </c>
      <c r="G11" s="3" t="s">
        <v>31</v>
      </c>
      <c r="H11" s="6" t="n">
        <v>0.5</v>
      </c>
      <c r="I11" s="7"/>
      <c r="J11" s="8" t="n">
        <f aca="false">H11*8</f>
        <v>4</v>
      </c>
      <c r="K11" s="8"/>
    </row>
    <row r="12" customFormat="false" ht="57.75" hidden="false" customHeight="true" outlineLevel="0" collapsed="false">
      <c r="B12" s="3"/>
      <c r="C12" s="3"/>
      <c r="D12" s="11"/>
      <c r="E12" s="5" t="s">
        <v>32</v>
      </c>
      <c r="F12" s="3" t="s">
        <v>33</v>
      </c>
      <c r="G12" s="3" t="s">
        <v>34</v>
      </c>
      <c r="H12" s="6" t="n">
        <v>0.5</v>
      </c>
      <c r="I12" s="7"/>
      <c r="J12" s="8" t="n">
        <f aca="false">H12*8</f>
        <v>4</v>
      </c>
      <c r="K12" s="8"/>
    </row>
    <row r="13" customFormat="false" ht="57.75" hidden="false" customHeight="true" outlineLevel="0" collapsed="false">
      <c r="B13" s="3"/>
      <c r="C13" s="3"/>
      <c r="D13" s="11"/>
      <c r="E13" s="5" t="s">
        <v>35</v>
      </c>
      <c r="F13" s="3" t="s">
        <v>36</v>
      </c>
      <c r="G13" s="3"/>
      <c r="H13" s="6" t="n">
        <v>0.5</v>
      </c>
      <c r="I13" s="7"/>
      <c r="J13" s="8" t="n">
        <f aca="false">H13*8</f>
        <v>4</v>
      </c>
      <c r="K13" s="8"/>
    </row>
    <row r="14" customFormat="false" ht="57.75" hidden="false" customHeight="true" outlineLevel="0" collapsed="false">
      <c r="B14" s="3"/>
      <c r="C14" s="3"/>
      <c r="D14" s="11"/>
      <c r="E14" s="5" t="s">
        <v>37</v>
      </c>
      <c r="F14" s="3" t="s">
        <v>38</v>
      </c>
      <c r="G14" s="3"/>
      <c r="H14" s="6" t="n">
        <v>0.25</v>
      </c>
      <c r="I14" s="9" t="n">
        <f aca="false">SUM(H10:H14)</f>
        <v>2.25</v>
      </c>
      <c r="J14" s="8" t="n">
        <f aca="false">H14*8</f>
        <v>2</v>
      </c>
      <c r="K14" s="10" t="n">
        <f aca="false">SUM(J10:J14)</f>
        <v>18</v>
      </c>
    </row>
    <row r="15" customFormat="false" ht="57.75" hidden="false" customHeight="true" outlineLevel="0" collapsed="false">
      <c r="B15" s="3"/>
      <c r="C15" s="3" t="s">
        <v>39</v>
      </c>
      <c r="D15" s="11" t="s">
        <v>26</v>
      </c>
      <c r="E15" s="5" t="s">
        <v>40</v>
      </c>
      <c r="F15" s="3" t="s">
        <v>41</v>
      </c>
      <c r="G15" s="3"/>
      <c r="H15" s="6" t="n">
        <v>0.5</v>
      </c>
      <c r="I15" s="7"/>
      <c r="J15" s="8" t="n">
        <f aca="false">H15*8</f>
        <v>4</v>
      </c>
      <c r="K15" s="8"/>
    </row>
    <row r="16" customFormat="false" ht="57.75" hidden="false" customHeight="true" outlineLevel="0" collapsed="false">
      <c r="B16" s="3"/>
      <c r="C16" s="3"/>
      <c r="D16" s="11"/>
      <c r="E16" s="5" t="s">
        <v>42</v>
      </c>
      <c r="F16" s="5" t="s">
        <v>43</v>
      </c>
      <c r="G16" s="3"/>
      <c r="H16" s="6" t="n">
        <v>0.5</v>
      </c>
      <c r="I16" s="7"/>
      <c r="J16" s="8" t="n">
        <f aca="false">H16*8</f>
        <v>4</v>
      </c>
      <c r="K16" s="8"/>
    </row>
    <row r="17" customFormat="false" ht="57.75" hidden="false" customHeight="true" outlineLevel="0" collapsed="false">
      <c r="B17" s="3"/>
      <c r="C17" s="3"/>
      <c r="D17" s="11"/>
      <c r="E17" s="5" t="s">
        <v>44</v>
      </c>
      <c r="F17" s="5" t="s">
        <v>45</v>
      </c>
      <c r="G17" s="3"/>
      <c r="H17" s="6" t="n">
        <v>1.5</v>
      </c>
      <c r="I17" s="7"/>
      <c r="J17" s="8" t="n">
        <f aca="false">H17*8</f>
        <v>12</v>
      </c>
      <c r="K17" s="8"/>
    </row>
    <row r="18" customFormat="false" ht="57.75" hidden="false" customHeight="true" outlineLevel="0" collapsed="false">
      <c r="B18" s="3"/>
      <c r="C18" s="3"/>
      <c r="D18" s="11"/>
      <c r="E18" s="5" t="s">
        <v>46</v>
      </c>
      <c r="F18" s="5" t="s">
        <v>47</v>
      </c>
      <c r="G18" s="3"/>
      <c r="H18" s="6" t="n">
        <v>1.5</v>
      </c>
      <c r="I18" s="7"/>
      <c r="J18" s="8" t="n">
        <f aca="false">H18*8</f>
        <v>12</v>
      </c>
      <c r="K18" s="8"/>
    </row>
    <row r="19" customFormat="false" ht="57.75" hidden="false" customHeight="true" outlineLevel="0" collapsed="false">
      <c r="B19" s="3"/>
      <c r="C19" s="3"/>
      <c r="D19" s="11"/>
      <c r="E19" s="5" t="s">
        <v>48</v>
      </c>
      <c r="F19" s="5" t="s">
        <v>49</v>
      </c>
      <c r="G19" s="3"/>
      <c r="H19" s="6" t="n">
        <v>1</v>
      </c>
      <c r="I19" s="7"/>
      <c r="J19" s="8" t="n">
        <f aca="false">H19*8</f>
        <v>8</v>
      </c>
      <c r="K19" s="8"/>
    </row>
    <row r="20" customFormat="false" ht="57.75" hidden="false" customHeight="true" outlineLevel="0" collapsed="false">
      <c r="B20" s="3"/>
      <c r="C20" s="3"/>
      <c r="D20" s="11"/>
      <c r="E20" s="5" t="s">
        <v>50</v>
      </c>
      <c r="F20" s="3" t="s">
        <v>51</v>
      </c>
      <c r="G20" s="3" t="s">
        <v>52</v>
      </c>
      <c r="H20" s="6" t="n">
        <v>1</v>
      </c>
      <c r="I20" s="7"/>
      <c r="J20" s="8" t="n">
        <f aca="false">H20*8</f>
        <v>8</v>
      </c>
      <c r="K20" s="8"/>
    </row>
    <row r="21" customFormat="false" ht="57.75" hidden="false" customHeight="true" outlineLevel="0" collapsed="false">
      <c r="B21" s="3"/>
      <c r="C21" s="3"/>
      <c r="D21" s="11"/>
      <c r="E21" s="5" t="s">
        <v>53</v>
      </c>
      <c r="F21" s="3" t="s">
        <v>54</v>
      </c>
      <c r="G21" s="3"/>
      <c r="H21" s="6" t="n">
        <v>1</v>
      </c>
      <c r="I21" s="7"/>
      <c r="J21" s="8" t="n">
        <f aca="false">H21*8</f>
        <v>8</v>
      </c>
      <c r="K21" s="8"/>
    </row>
    <row r="22" customFormat="false" ht="57.75" hidden="false" customHeight="true" outlineLevel="0" collapsed="false">
      <c r="B22" s="3"/>
      <c r="C22" s="3"/>
      <c r="D22" s="11"/>
      <c r="E22" s="3" t="s">
        <v>55</v>
      </c>
      <c r="F22" s="5" t="s">
        <v>56</v>
      </c>
      <c r="G22" s="3"/>
      <c r="H22" s="6" t="n">
        <v>1.5</v>
      </c>
      <c r="I22" s="9" t="n">
        <f aca="false">SUM(H15:H22)</f>
        <v>8.5</v>
      </c>
      <c r="J22" s="8" t="n">
        <f aca="false">H22*8</f>
        <v>12</v>
      </c>
      <c r="K22" s="10" t="n">
        <f aca="false">SUM(J15:J22)</f>
        <v>68</v>
      </c>
    </row>
    <row r="23" customFormat="false" ht="57.75" hidden="false" customHeight="true" outlineLevel="0" collapsed="false">
      <c r="B23" s="3"/>
      <c r="C23" s="3" t="s">
        <v>57</v>
      </c>
      <c r="D23" s="11" t="s">
        <v>26</v>
      </c>
      <c r="E23" s="3" t="s">
        <v>58</v>
      </c>
      <c r="F23" s="5" t="s">
        <v>59</v>
      </c>
      <c r="G23" s="3"/>
      <c r="H23" s="6" t="n">
        <v>1</v>
      </c>
      <c r="I23" s="7"/>
      <c r="J23" s="8" t="n">
        <f aca="false">H23*8</f>
        <v>8</v>
      </c>
      <c r="K23" s="8"/>
    </row>
    <row r="24" customFormat="false" ht="57.75" hidden="false" customHeight="true" outlineLevel="0" collapsed="false">
      <c r="B24" s="3"/>
      <c r="C24" s="3"/>
      <c r="D24" s="11"/>
      <c r="E24" s="3" t="s">
        <v>60</v>
      </c>
      <c r="F24" s="5" t="s">
        <v>61</v>
      </c>
      <c r="G24" s="3" t="s">
        <v>62</v>
      </c>
      <c r="H24" s="6" t="n">
        <v>0.5</v>
      </c>
      <c r="I24" s="7"/>
      <c r="J24" s="8" t="n">
        <f aca="false">H24*8</f>
        <v>4</v>
      </c>
      <c r="K24" s="8"/>
    </row>
    <row r="25" customFormat="false" ht="57.75" hidden="false" customHeight="true" outlineLevel="0" collapsed="false">
      <c r="B25" s="3"/>
      <c r="C25" s="3"/>
      <c r="D25" s="11"/>
      <c r="E25" s="3" t="s">
        <v>63</v>
      </c>
      <c r="F25" s="3" t="s">
        <v>64</v>
      </c>
      <c r="G25" s="3"/>
      <c r="H25" s="6" t="n">
        <v>1</v>
      </c>
      <c r="I25" s="7"/>
      <c r="J25" s="8" t="n">
        <f aca="false">H25*8</f>
        <v>8</v>
      </c>
      <c r="K25" s="8"/>
    </row>
    <row r="26" customFormat="false" ht="57.75" hidden="false" customHeight="true" outlineLevel="0" collapsed="false">
      <c r="B26" s="3"/>
      <c r="C26" s="3"/>
      <c r="D26" s="11"/>
      <c r="E26" s="3" t="s">
        <v>65</v>
      </c>
      <c r="F26" s="5" t="s">
        <v>66</v>
      </c>
      <c r="G26" s="3" t="s">
        <v>67</v>
      </c>
      <c r="H26" s="6" t="n">
        <v>1</v>
      </c>
      <c r="I26" s="7"/>
      <c r="J26" s="8" t="n">
        <f aca="false">H26*8</f>
        <v>8</v>
      </c>
      <c r="K26" s="8"/>
    </row>
    <row r="27" customFormat="false" ht="57.75" hidden="false" customHeight="true" outlineLevel="0" collapsed="false">
      <c r="B27" s="3"/>
      <c r="C27" s="3"/>
      <c r="D27" s="11"/>
      <c r="E27" s="3" t="s">
        <v>68</v>
      </c>
      <c r="F27" s="3" t="s">
        <v>69</v>
      </c>
      <c r="G27" s="5" t="s">
        <v>70</v>
      </c>
      <c r="H27" s="6" t="n">
        <v>0.5</v>
      </c>
      <c r="I27" s="9" t="n">
        <f aca="false">SUM(H23:H27)</f>
        <v>4</v>
      </c>
      <c r="J27" s="8" t="n">
        <f aca="false">H27*8</f>
        <v>4</v>
      </c>
      <c r="K27" s="10" t="n">
        <f aca="false">SUM(J23:J27)</f>
        <v>32</v>
      </c>
    </row>
    <row r="28" customFormat="false" ht="57.75" hidden="false" customHeight="true" outlineLevel="0" collapsed="false">
      <c r="B28" s="3"/>
      <c r="C28" s="3" t="s">
        <v>71</v>
      </c>
      <c r="D28" s="11" t="s">
        <v>72</v>
      </c>
      <c r="E28" s="3" t="s">
        <v>73</v>
      </c>
      <c r="F28" s="3" t="s">
        <v>74</v>
      </c>
      <c r="G28" s="5" t="s">
        <v>75</v>
      </c>
      <c r="H28" s="6" t="n">
        <v>3</v>
      </c>
      <c r="I28" s="7"/>
      <c r="J28" s="8" t="n">
        <f aca="false">H28*8</f>
        <v>24</v>
      </c>
      <c r="K28" s="8"/>
    </row>
    <row r="29" customFormat="false" ht="57.75" hidden="false" customHeight="true" outlineLevel="0" collapsed="false">
      <c r="B29" s="3"/>
      <c r="C29" s="3"/>
      <c r="D29" s="11"/>
      <c r="E29" s="3" t="s">
        <v>76</v>
      </c>
      <c r="F29" s="3" t="s">
        <v>77</v>
      </c>
      <c r="G29" s="3" t="s">
        <v>78</v>
      </c>
      <c r="H29" s="6" t="n">
        <v>0.5</v>
      </c>
      <c r="I29" s="7"/>
      <c r="J29" s="8" t="n">
        <f aca="false">H29*8</f>
        <v>4</v>
      </c>
      <c r="K29" s="8"/>
    </row>
    <row r="30" customFormat="false" ht="57.75" hidden="false" customHeight="true" outlineLevel="0" collapsed="false">
      <c r="B30" s="3"/>
      <c r="C30" s="3"/>
      <c r="D30" s="11"/>
      <c r="E30" s="3" t="s">
        <v>79</v>
      </c>
      <c r="F30" s="3" t="s">
        <v>80</v>
      </c>
      <c r="G30" s="3"/>
      <c r="H30" s="6" t="n">
        <v>1.5</v>
      </c>
      <c r="I30" s="9" t="n">
        <f aca="false">SUM(H28:H30)</f>
        <v>5</v>
      </c>
      <c r="J30" s="8" t="n">
        <f aca="false">H30*8</f>
        <v>12</v>
      </c>
      <c r="K30" s="10" t="n">
        <f aca="false">SUM(J28:J30)</f>
        <v>40</v>
      </c>
    </row>
    <row r="31" customFormat="false" ht="57.75" hidden="false" customHeight="true" outlineLevel="0" collapsed="false">
      <c r="B31" s="3"/>
      <c r="C31" s="5" t="s">
        <v>81</v>
      </c>
      <c r="D31" s="11" t="s">
        <v>72</v>
      </c>
      <c r="E31" s="5" t="s">
        <v>82</v>
      </c>
      <c r="F31" s="3" t="s">
        <v>83</v>
      </c>
      <c r="G31" s="3"/>
      <c r="H31" s="6" t="n">
        <v>3</v>
      </c>
      <c r="I31" s="9" t="n">
        <f aca="false">SUM(H31:H31)</f>
        <v>3</v>
      </c>
      <c r="J31" s="8" t="n">
        <f aca="false">H31*8</f>
        <v>24</v>
      </c>
      <c r="K31" s="10" t="n">
        <f aca="false">SUM(J31:J31)</f>
        <v>24</v>
      </c>
    </row>
    <row r="32" customFormat="false" ht="57.75" hidden="false" customHeight="true" outlineLevel="0" collapsed="false">
      <c r="B32" s="3"/>
      <c r="C32" s="3" t="s">
        <v>84</v>
      </c>
      <c r="D32" s="4" t="s">
        <v>13</v>
      </c>
      <c r="E32" s="3" t="s">
        <v>85</v>
      </c>
      <c r="F32" s="3" t="s">
        <v>86</v>
      </c>
      <c r="G32" s="3" t="s">
        <v>87</v>
      </c>
      <c r="H32" s="6" t="n">
        <v>1</v>
      </c>
      <c r="I32" s="9" t="n">
        <f aca="false">SUM(H32:H32)</f>
        <v>1</v>
      </c>
      <c r="J32" s="8" t="n">
        <f aca="false">H32*8</f>
        <v>8</v>
      </c>
      <c r="K32" s="10" t="n">
        <f aca="false">SUM(J32:J32)</f>
        <v>8</v>
      </c>
    </row>
    <row r="33" customFormat="false" ht="19.5" hidden="false" customHeight="true" outlineLevel="0" collapsed="false">
      <c r="B33" s="12" t="s">
        <v>88</v>
      </c>
      <c r="C33" s="12"/>
      <c r="D33" s="12"/>
      <c r="E33" s="12"/>
      <c r="F33" s="12"/>
      <c r="G33" s="12"/>
      <c r="H33" s="12"/>
      <c r="I33" s="13" t="n">
        <f aca="false">SUM(I6:I32)</f>
        <v>27.75</v>
      </c>
      <c r="J33" s="14"/>
      <c r="K33" s="14" t="n">
        <f aca="false">SUM(K6:K32)</f>
        <v>222</v>
      </c>
    </row>
    <row r="35" customFormat="false" ht="15" hidden="false" customHeight="false" outlineLevel="0" collapsed="false">
      <c r="B35" s="15" t="s">
        <v>89</v>
      </c>
    </row>
    <row r="36" customFormat="false" ht="15" hidden="false" customHeight="false" outlineLevel="0" collapsed="false">
      <c r="B36" s="16" t="s">
        <v>90</v>
      </c>
    </row>
    <row r="37" customFormat="false" ht="15" hidden="false" customHeight="false" outlineLevel="0" collapsed="false">
      <c r="B37" s="16" t="s">
        <v>91</v>
      </c>
    </row>
    <row r="38" customFormat="false" ht="15" hidden="false" customHeight="false" outlineLevel="0" collapsed="false">
      <c r="B38" s="16"/>
    </row>
    <row r="39" customFormat="false" ht="15" hidden="false" customHeight="false" outlineLevel="0" collapsed="false">
      <c r="B39" s="15" t="s">
        <v>92</v>
      </c>
    </row>
    <row r="40" customFormat="false" ht="15" hidden="false" customHeight="false" outlineLevel="0" collapsed="false">
      <c r="B40" s="16" t="s">
        <v>93</v>
      </c>
    </row>
    <row r="41" customFormat="false" ht="15" hidden="false" customHeight="false" outlineLevel="0" collapsed="false">
      <c r="B41" s="16" t="s">
        <v>94</v>
      </c>
    </row>
    <row r="42" customFormat="false" ht="15" hidden="false" customHeight="false" outlineLevel="0" collapsed="false">
      <c r="B42" s="16" t="s">
        <v>95</v>
      </c>
    </row>
    <row r="43" customFormat="false" ht="15" hidden="false" customHeight="false" outlineLevel="0" collapsed="false">
      <c r="B43" s="16" t="s">
        <v>96</v>
      </c>
    </row>
    <row r="44" customFormat="false" ht="15" hidden="false" customHeight="false" outlineLevel="0" collapsed="false">
      <c r="B44" s="16" t="s">
        <v>97</v>
      </c>
    </row>
    <row r="45" customFormat="false" ht="15" hidden="false" customHeight="false" outlineLevel="0" collapsed="false">
      <c r="B45" s="16" t="s">
        <v>98</v>
      </c>
    </row>
    <row r="46" customFormat="false" ht="15" hidden="false" customHeight="false" outlineLevel="0" collapsed="false">
      <c r="B46" s="16"/>
    </row>
    <row r="47" customFormat="false" ht="15" hidden="false" customHeight="false" outlineLevel="0" collapsed="false">
      <c r="B47" s="15" t="s">
        <v>99</v>
      </c>
    </row>
    <row r="48" customFormat="false" ht="15" hidden="false" customHeight="false" outlineLevel="0" collapsed="false">
      <c r="B48" s="16" t="s">
        <v>100</v>
      </c>
    </row>
    <row r="49" customFormat="false" ht="15" hidden="false" customHeight="false" outlineLevel="0" collapsed="false">
      <c r="B49" s="16" t="s">
        <v>101</v>
      </c>
    </row>
    <row r="50" customFormat="false" ht="15" hidden="false" customHeight="false" outlineLevel="0" collapsed="false">
      <c r="B50" s="16" t="s">
        <v>102</v>
      </c>
    </row>
  </sheetData>
  <mergeCells count="20">
    <mergeCell ref="B4:B5"/>
    <mergeCell ref="C4:C5"/>
    <mergeCell ref="D4:D5"/>
    <mergeCell ref="E4:E5"/>
    <mergeCell ref="F4:F5"/>
    <mergeCell ref="G4:G5"/>
    <mergeCell ref="H4:I4"/>
    <mergeCell ref="J4:K4"/>
    <mergeCell ref="B6:B32"/>
    <mergeCell ref="C6:C9"/>
    <mergeCell ref="D6:D9"/>
    <mergeCell ref="C10:C14"/>
    <mergeCell ref="D10:D14"/>
    <mergeCell ref="C15:C22"/>
    <mergeCell ref="D15:D22"/>
    <mergeCell ref="C23:C27"/>
    <mergeCell ref="D23:D27"/>
    <mergeCell ref="C28:C30"/>
    <mergeCell ref="D28:D30"/>
    <mergeCell ref="B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7"/>
    <col collapsed="false" customWidth="true" hidden="false" outlineLevel="0" max="5" min="5" style="0" width="38"/>
    <col collapsed="false" customWidth="true" hidden="false" outlineLevel="0" max="6" min="6" style="0" width="62"/>
    <col collapsed="false" customWidth="true" hidden="false" outlineLevel="0" max="7" min="7" style="0" width="26"/>
    <col collapsed="false" customWidth="true" hidden="false" outlineLevel="0" max="11" min="8" style="0" width="8"/>
  </cols>
  <sheetData>
    <row r="2" customFormat="false" ht="21.6" hidden="false" customHeight="false" outlineLevel="0" collapsed="false">
      <c r="B2" s="17" t="s">
        <v>103</v>
      </c>
    </row>
    <row r="3" customFormat="false" ht="15" hidden="false" customHeight="false" outlineLevel="0" collapsed="false">
      <c r="B3" s="18" t="s">
        <v>104</v>
      </c>
    </row>
    <row r="4" customFormat="false" ht="15" hidden="false" customHeight="false" outlineLevel="0" collapsed="false">
      <c r="B4" s="19" t="s">
        <v>105</v>
      </c>
    </row>
    <row r="6" customFormat="false" ht="15" hidden="false" customHeight="true" outlineLevel="0" collapsed="false"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/>
      <c r="J6" s="2" t="s">
        <v>8</v>
      </c>
      <c r="K6" s="2"/>
    </row>
    <row r="7" customFormat="false" ht="15" hidden="false" customHeight="false" outlineLevel="0" collapsed="false">
      <c r="B7" s="2"/>
      <c r="C7" s="2"/>
      <c r="D7" s="2"/>
      <c r="E7" s="2"/>
      <c r="F7" s="2"/>
      <c r="G7" s="2"/>
      <c r="H7" s="2" t="s">
        <v>9</v>
      </c>
      <c r="I7" s="2" t="s">
        <v>10</v>
      </c>
      <c r="J7" s="2" t="s">
        <v>9</v>
      </c>
      <c r="K7" s="2" t="s">
        <v>10</v>
      </c>
    </row>
    <row r="8" customFormat="false" ht="57.75" hidden="false" customHeight="true" outlineLevel="0" collapsed="false">
      <c r="B8" s="3" t="s">
        <v>11</v>
      </c>
      <c r="C8" s="5" t="s">
        <v>106</v>
      </c>
      <c r="D8" s="11" t="s">
        <v>72</v>
      </c>
      <c r="E8" s="3" t="s">
        <v>107</v>
      </c>
      <c r="F8" s="3" t="s">
        <v>108</v>
      </c>
      <c r="G8" s="3"/>
      <c r="H8" s="6" t="n">
        <v>1</v>
      </c>
      <c r="I8" s="7"/>
      <c r="J8" s="8" t="n">
        <f aca="false">H8*8</f>
        <v>8</v>
      </c>
      <c r="K8" s="8"/>
    </row>
    <row r="9" customFormat="false" ht="57.75" hidden="false" customHeight="true" outlineLevel="0" collapsed="false">
      <c r="B9" s="3"/>
      <c r="C9" s="3"/>
      <c r="D9" s="11"/>
      <c r="E9" s="5" t="s">
        <v>109</v>
      </c>
      <c r="F9" s="5" t="s">
        <v>110</v>
      </c>
      <c r="G9" s="3" t="s">
        <v>111</v>
      </c>
      <c r="H9" s="6" t="n">
        <v>0.5</v>
      </c>
      <c r="I9" s="7"/>
      <c r="J9" s="8" t="n">
        <f aca="false">H9*8</f>
        <v>4</v>
      </c>
      <c r="K9" s="8"/>
    </row>
    <row r="10" customFormat="false" ht="57.75" hidden="false" customHeight="true" outlineLevel="0" collapsed="false">
      <c r="B10" s="3"/>
      <c r="C10" s="3"/>
      <c r="D10" s="11"/>
      <c r="E10" s="5" t="s">
        <v>112</v>
      </c>
      <c r="F10" s="3" t="s">
        <v>113</v>
      </c>
      <c r="G10" s="3"/>
      <c r="H10" s="6" t="n">
        <v>0.25</v>
      </c>
      <c r="I10" s="7"/>
      <c r="J10" s="8" t="n">
        <f aca="false">H10*8</f>
        <v>2</v>
      </c>
      <c r="K10" s="8"/>
    </row>
    <row r="11" customFormat="false" ht="57.75" hidden="false" customHeight="true" outlineLevel="0" collapsed="false">
      <c r="B11" s="3"/>
      <c r="C11" s="3"/>
      <c r="D11" s="11"/>
      <c r="E11" s="5" t="s">
        <v>114</v>
      </c>
      <c r="F11" s="5" t="s">
        <v>115</v>
      </c>
      <c r="G11" s="3"/>
      <c r="H11" s="6" t="n">
        <v>1.5</v>
      </c>
      <c r="I11" s="7"/>
      <c r="J11" s="8" t="n">
        <f aca="false">H11*8</f>
        <v>12</v>
      </c>
      <c r="K11" s="8"/>
    </row>
    <row r="12" customFormat="false" ht="57.75" hidden="false" customHeight="true" outlineLevel="0" collapsed="false">
      <c r="B12" s="3"/>
      <c r="C12" s="3"/>
      <c r="D12" s="11"/>
      <c r="E12" s="3" t="s">
        <v>116</v>
      </c>
      <c r="F12" s="5" t="s">
        <v>117</v>
      </c>
      <c r="G12" s="3"/>
      <c r="H12" s="6" t="n">
        <v>1.5</v>
      </c>
      <c r="I12" s="7"/>
      <c r="J12" s="8" t="n">
        <f aca="false">H12*8</f>
        <v>12</v>
      </c>
      <c r="K12" s="8"/>
    </row>
    <row r="13" customFormat="false" ht="57.75" hidden="false" customHeight="true" outlineLevel="0" collapsed="false">
      <c r="B13" s="3"/>
      <c r="C13" s="3"/>
      <c r="D13" s="11"/>
      <c r="E13" s="3" t="s">
        <v>118</v>
      </c>
      <c r="F13" s="5" t="s">
        <v>119</v>
      </c>
      <c r="G13" s="3" t="s">
        <v>78</v>
      </c>
      <c r="H13" s="6" t="n">
        <v>0.5</v>
      </c>
      <c r="I13" s="7"/>
      <c r="J13" s="8" t="n">
        <f aca="false">H13*8</f>
        <v>4</v>
      </c>
      <c r="K13" s="8"/>
    </row>
    <row r="14" customFormat="false" ht="57.75" hidden="false" customHeight="true" outlineLevel="0" collapsed="false">
      <c r="B14" s="3"/>
      <c r="C14" s="3"/>
      <c r="D14" s="11"/>
      <c r="E14" s="3" t="s">
        <v>120</v>
      </c>
      <c r="F14" s="3" t="s">
        <v>121</v>
      </c>
      <c r="G14" s="3"/>
      <c r="H14" s="6" t="n">
        <v>0.75</v>
      </c>
      <c r="I14" s="9" t="n">
        <f aca="false">SUM(H8:H14)</f>
        <v>6</v>
      </c>
      <c r="J14" s="8" t="n">
        <f aca="false">H14*8</f>
        <v>6</v>
      </c>
      <c r="K14" s="10" t="n">
        <f aca="false">SUM(J8:J14)</f>
        <v>48</v>
      </c>
    </row>
    <row r="15" customFormat="false" ht="15" hidden="false" customHeight="false" outlineLevel="0" collapsed="false">
      <c r="B15" s="12" t="s">
        <v>88</v>
      </c>
      <c r="C15" s="12"/>
      <c r="D15" s="12"/>
      <c r="E15" s="12"/>
      <c r="F15" s="12"/>
      <c r="G15" s="12"/>
      <c r="H15" s="12"/>
      <c r="I15" s="13" t="n">
        <f aca="false">SUM(I8:I14)</f>
        <v>6</v>
      </c>
      <c r="J15" s="14"/>
      <c r="K15" s="14" t="n">
        <f aca="false">SUM(K8:K14)</f>
        <v>48</v>
      </c>
    </row>
  </sheetData>
  <mergeCells count="12">
    <mergeCell ref="B6:B7"/>
    <mergeCell ref="C6:C7"/>
    <mergeCell ref="D6:D7"/>
    <mergeCell ref="E6:E7"/>
    <mergeCell ref="F6:F7"/>
    <mergeCell ref="G6:G7"/>
    <mergeCell ref="H6:I6"/>
    <mergeCell ref="J6:K6"/>
    <mergeCell ref="B8:B14"/>
    <mergeCell ref="C8:C14"/>
    <mergeCell ref="D8:D14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2026-08-04T00:52:07Z</dcterms:created>
  <dc:creator>openpyxl</dc:creator>
  <dc:description/>
  <dc:language>en-US</dc:language>
  <cp:lastModifiedBy/>
  <dcterms:modified xsi:type="dcterms:W3CDTF">2026-08-04T00:52:07Z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