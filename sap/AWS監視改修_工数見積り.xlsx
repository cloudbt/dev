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個別要件作業見積り" sheetId="1" state="visible" r:id="rId3"/>
    <sheet name="Phase2(参考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<sst xmlns="http://schemas.openxmlformats.org/spreadsheetml/2006/main" count="107" uniqueCount="87">
  <si>
    <t xml:space="preserve">個別要件作業見積り</t>
  </si>
  <si>
    <r>
      <rPr>
        <sz val="10"/>
        <rFont val="Meiryo UI"/>
        <family val="0"/>
        <charset val="1"/>
      </rPr>
      <t xml:space="preserve">AWS</t>
    </r>
    <r>
      <rPr>
        <sz val="10"/>
        <rFont val="Noto Sans CJK SC"/>
        <family val="2"/>
      </rPr>
      <t xml:space="preserve">監視改修（</t>
    </r>
    <r>
      <rPr>
        <sz val="10"/>
        <rFont val="Meiryo UI"/>
        <family val="0"/>
        <charset val="1"/>
      </rPr>
      <t xml:space="preserve">EC2</t>
    </r>
    <r>
      <rPr>
        <sz val="10"/>
        <rFont val="Noto Sans CJK SC"/>
        <family val="2"/>
      </rPr>
      <t xml:space="preserve">ディスク自動拡張）　</t>
    </r>
    <r>
      <rPr>
        <sz val="10"/>
        <rFont val="Meiryo UI"/>
        <family val="0"/>
        <charset val="1"/>
      </rPr>
      <t xml:space="preserve">Phase1</t>
    </r>
    <r>
      <rPr>
        <sz val="10"/>
        <rFont val="Noto Sans CJK SC"/>
        <family val="2"/>
      </rPr>
      <t xml:space="preserve">：</t>
    </r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案（開発環境</t>
    </r>
    <r>
      <rPr>
        <sz val="10"/>
        <rFont val="Meiryo UI"/>
        <family val="0"/>
        <charset val="1"/>
      </rPr>
      <t xml:space="preserve">=</t>
    </r>
    <r>
      <rPr>
        <sz val="10"/>
        <rFont val="Noto Sans CJK SC"/>
        <family val="2"/>
      </rPr>
      <t xml:space="preserve">自動拡張／本番環境</t>
    </r>
    <r>
      <rPr>
        <sz val="10"/>
        <rFont val="Meiryo UI"/>
        <family val="0"/>
        <charset val="1"/>
      </rPr>
      <t xml:space="preserve">=</t>
    </r>
    <r>
      <rPr>
        <sz val="10"/>
        <rFont val="Noto Sans CJK SC"/>
        <family val="2"/>
      </rPr>
      <t xml:space="preserve">通知のみ）</t>
    </r>
  </si>
  <si>
    <t xml:space="preserve">分類</t>
  </si>
  <si>
    <t xml:space="preserve">システム名・タスク</t>
  </si>
  <si>
    <t xml:space="preserve">環境</t>
  </si>
  <si>
    <t xml:space="preserve">作業ステップ</t>
  </si>
  <si>
    <t xml:space="preserve">追加前提事項</t>
  </si>
  <si>
    <r>
      <rPr>
        <b val="true"/>
        <sz val="10"/>
        <rFont val="Noto Sans CJK SC"/>
        <family val="2"/>
      </rPr>
      <t xml:space="preserve">工数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人日</t>
    </r>
    <r>
      <rPr>
        <b val="true"/>
        <sz val="10"/>
        <rFont val="Meiryo U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</si>
  <si>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工数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時間</t>
    </r>
    <r>
      <rPr>
        <b val="true"/>
        <sz val="10"/>
        <rFont val="Meiryo UI"/>
        <family val="0"/>
        <charset val="1"/>
      </rPr>
      <t xml:space="preserve">)</t>
    </r>
  </si>
  <si>
    <t xml:space="preserve">原単位</t>
  </si>
  <si>
    <t xml:space="preserve">合計</t>
  </si>
  <si>
    <t xml:space="preserve">品質向上</t>
  </si>
  <si>
    <t xml:space="preserve">① 要件確認・設計</t>
  </si>
  <si>
    <t xml:space="preserve">共通</t>
  </si>
  <si>
    <r>
      <rPr>
        <sz val="10"/>
        <rFont val="Noto Sans CJK SC"/>
        <family val="2"/>
      </rPr>
      <t xml:space="preserve">現行調査、実現可否確認（</t>
    </r>
    <r>
      <rPr>
        <sz val="10"/>
        <rFont val="Meiryo UI"/>
        <family val="0"/>
        <charset val="1"/>
      </rPr>
      <t xml:space="preserve">CW Agent</t>
    </r>
    <r>
      <rPr>
        <sz val="10"/>
        <rFont val="Noto Sans CJK SC"/>
        <family val="2"/>
      </rPr>
      <t xml:space="preserve">設定・</t>
    </r>
    <r>
      <rPr>
        <sz val="10"/>
        <rFont val="Meiryo UI"/>
        <family val="0"/>
        <charset val="1"/>
      </rPr>
      <t xml:space="preserve">SSM</t>
    </r>
    <r>
      <rPr>
        <sz val="10"/>
        <rFont val="Noto Sans CJK SC"/>
        <family val="2"/>
      </rPr>
      <t xml:space="preserve">疎通・ボリューム構成）</t>
    </r>
  </si>
  <si>
    <t xml:space="preserve">一部実施済のため縮小計上</t>
  </si>
  <si>
    <r>
      <rPr>
        <sz val="10"/>
        <rFont val="Noto Sans CJK SC"/>
        <family val="2"/>
      </rPr>
      <t xml:space="preserve">設計書作成（方式・監視・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・通知・異常系）</t>
    </r>
  </si>
  <si>
    <r>
      <rPr>
        <sz val="10"/>
        <rFont val="Noto Sans CJK SC"/>
        <family val="2"/>
      </rPr>
      <t xml:space="preserve">顧客・リーダーレビュー対応、方針決定（</t>
    </r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案／</t>
    </r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案）</t>
    </r>
  </si>
  <si>
    <r>
      <rPr>
        <sz val="10"/>
        <rFont val="Noto Sans CJK SC"/>
        <family val="2"/>
      </rPr>
      <t xml:space="preserve">レビュー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回程度を想定</t>
    </r>
  </si>
  <si>
    <t xml:space="preserve">設計書最終化</t>
  </si>
  <si>
    <r>
      <rPr>
        <sz val="10"/>
        <rFont val="Meiryo UI"/>
        <family val="0"/>
        <charset val="1"/>
      </rPr>
      <t xml:space="preserve">② AWS</t>
    </r>
    <r>
      <rPr>
        <sz val="10"/>
        <rFont val="Noto Sans CJK SC"/>
        <family val="2"/>
      </rPr>
      <t xml:space="preserve">基盤構築</t>
    </r>
  </si>
  <si>
    <t xml:space="preserve">dev</t>
  </si>
  <si>
    <r>
      <rPr>
        <sz val="10"/>
        <rFont val="Meiryo UI"/>
        <family val="0"/>
        <charset val="1"/>
      </rPr>
      <t xml:space="preserve">IAM</t>
    </r>
    <r>
      <rPr>
        <sz val="10"/>
        <rFont val="Noto Sans CJK SC"/>
        <family val="2"/>
      </rPr>
      <t xml:space="preserve">ロール・ポリシー作成（</t>
    </r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SSM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Step Functions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</si>
  <si>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SNS</t>
    </r>
    <r>
      <rPr>
        <sz val="10"/>
        <rFont val="Noto Sans CJK SC"/>
        <family val="2"/>
      </rPr>
      <t xml:space="preserve">トピック作成・サブスクリプション設定（</t>
    </r>
    <r>
      <rPr>
        <sz val="10"/>
        <rFont val="Meiryo UI"/>
        <family val="0"/>
        <charset val="1"/>
      </rPr>
      <t xml:space="preserve">info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action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</si>
  <si>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既存</t>
    </r>
    <r>
      <rPr>
        <sz val="10"/>
        <rFont val="Meiryo UI"/>
        <family val="0"/>
        <charset val="1"/>
      </rPr>
      <t xml:space="preserve">20%</t>
    </r>
    <r>
      <rPr>
        <sz val="10"/>
        <rFont val="Noto Sans CJK SC"/>
        <family val="2"/>
      </rPr>
      <t xml:space="preserve">通知は変更しない</t>
    </r>
  </si>
  <si>
    <r>
      <rPr>
        <sz val="10"/>
        <rFont val="Meiryo UI"/>
        <family val="0"/>
        <charset val="1"/>
      </rPr>
      <t xml:space="preserve">CloudWatch</t>
    </r>
    <r>
      <rPr>
        <sz val="10"/>
        <rFont val="Noto Sans CJK SC"/>
        <family val="2"/>
      </rPr>
      <t xml:space="preserve">アラーム作成（自動拡張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本＋ウォッチドッグ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本）</t>
    </r>
  </si>
  <si>
    <r>
      <rPr>
        <sz val="10"/>
        <rFont val="Meiryo UI"/>
        <family val="0"/>
        <charset val="1"/>
      </rPr>
      <t xml:space="preserve">Terraform</t>
    </r>
    <r>
      <rPr>
        <sz val="10"/>
        <rFont val="Noto Sans CJK SC"/>
        <family val="2"/>
      </rPr>
      <t xml:space="preserve">未使用・</t>
    </r>
    <r>
      <rPr>
        <sz val="10"/>
        <rFont val="Meiryo UI"/>
        <family val="0"/>
        <charset val="1"/>
      </rPr>
      <t xml:space="preserve">Console</t>
    </r>
    <r>
      <rPr>
        <sz val="10"/>
        <rFont val="Noto Sans CJK SC"/>
        <family val="2"/>
      </rPr>
      <t xml:space="preserve">手動構築</t>
    </r>
  </si>
  <si>
    <r>
      <rPr>
        <sz val="10"/>
        <rFont val="Meiryo UI"/>
        <family val="0"/>
        <charset val="1"/>
      </rPr>
      <t xml:space="preserve">EventBridge</t>
    </r>
    <r>
      <rPr>
        <sz val="10"/>
        <rFont val="Noto Sans CJK SC"/>
        <family val="2"/>
      </rPr>
      <t xml:space="preserve">ルール／</t>
    </r>
    <r>
      <rPr>
        <sz val="10"/>
        <rFont val="Meiryo UI"/>
        <family val="0"/>
        <charset val="1"/>
      </rPr>
      <t xml:space="preserve">Scheduler</t>
    </r>
    <r>
      <rPr>
        <sz val="10"/>
        <rFont val="Noto Sans CJK SC"/>
        <family val="2"/>
      </rPr>
      <t xml:space="preserve">作成</t>
    </r>
  </si>
  <si>
    <r>
      <rPr>
        <sz val="10"/>
        <rFont val="Meiryo UI"/>
        <family val="0"/>
        <charset val="1"/>
      </rPr>
      <t xml:space="preserve">Parameter Store </t>
    </r>
    <r>
      <rPr>
        <sz val="10"/>
        <rFont val="Noto Sans CJK SC"/>
        <family val="2"/>
      </rPr>
      <t xml:space="preserve">設定値・状態の初期投入</t>
    </r>
  </si>
  <si>
    <t xml:space="preserve">③ 実装</t>
  </si>
  <si>
    <r>
      <rPr>
        <sz val="10"/>
        <rFont val="Meiryo UI"/>
        <family val="0"/>
        <charset val="1"/>
      </rPr>
      <t xml:space="preserve">SSM Document</t>
    </r>
    <r>
      <rPr>
        <sz val="10"/>
        <rFont val="Noto Sans CJK SC"/>
        <family val="2"/>
      </rPr>
      <t xml:space="preserve">作成（事前チェック）</t>
    </r>
  </si>
  <si>
    <r>
      <rPr>
        <sz val="10"/>
        <rFont val="Meiryo UI"/>
        <family val="0"/>
        <charset val="1"/>
      </rPr>
      <t xml:space="preserve">SSM Document</t>
    </r>
    <r>
      <rPr>
        <sz val="10"/>
        <rFont val="Noto Sans CJK SC"/>
        <family val="2"/>
      </rPr>
      <t xml:space="preserve">作成（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側パーティション拡張）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</si>
  <si>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実装（事前チェック／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判定）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</si>
  <si>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拡張／状態更新／拡張完了待機）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</si>
  <si>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拡張実行／結果通知）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</si>
  <si>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実装（未解決事象の再通知／自動復旧）</t>
    </r>
  </si>
  <si>
    <r>
      <rPr>
        <sz val="10"/>
        <rFont val="Meiryo UI"/>
        <family val="0"/>
        <charset val="1"/>
      </rPr>
      <t xml:space="preserve">Step Functions </t>
    </r>
    <r>
      <rPr>
        <sz val="10"/>
        <rFont val="Noto Sans CJK SC"/>
        <family val="2"/>
      </rPr>
      <t xml:space="preserve">ステートマシン作成</t>
    </r>
  </si>
  <si>
    <t xml:space="preserve">単体テスト・デバッグ</t>
  </si>
  <si>
    <t xml:space="preserve">④ テスト</t>
  </si>
  <si>
    <r>
      <rPr>
        <sz val="10"/>
        <rFont val="Noto Sans CJK SC"/>
        <family val="2"/>
      </rPr>
      <t xml:space="preserve">テスト仕様書作成（</t>
    </r>
    <r>
      <rPr>
        <sz val="10"/>
        <rFont val="Meiryo UI"/>
        <family val="0"/>
        <charset val="1"/>
      </rPr>
      <t xml:space="preserve">13</t>
    </r>
    <r>
      <rPr>
        <sz val="10"/>
        <rFont val="Noto Sans CJK SC"/>
        <family val="2"/>
      </rPr>
      <t xml:space="preserve">シナリオ）</t>
    </r>
  </si>
  <si>
    <r>
      <rPr>
        <sz val="10"/>
        <rFont val="Noto Sans CJK SC"/>
        <family val="2"/>
      </rPr>
      <t xml:space="preserve">テスト環境準備（テスト用</t>
    </r>
    <r>
      <rPr>
        <sz val="10"/>
        <rFont val="Meiryo UI"/>
        <family val="0"/>
        <charset val="1"/>
      </rPr>
      <t xml:space="preserve">10GB</t>
    </r>
    <r>
      <rPr>
        <sz val="10"/>
        <rFont val="Noto Sans CJK SC"/>
        <family val="2"/>
      </rPr>
      <t xml:space="preserve">ボリューム作成・設定）</t>
    </r>
  </si>
  <si>
    <t xml:space="preserve">実ドライブ消費を回避するため</t>
  </si>
  <si>
    <r>
      <rPr>
        <sz val="10"/>
        <rFont val="Noto Sans CJK SC"/>
        <family val="2"/>
      </rPr>
      <t xml:space="preserve">結合テスト実施（正常系・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系）</t>
    </r>
  </si>
  <si>
    <t xml:space="preserve">結合テスト実施（異常系・復旧系）</t>
  </si>
  <si>
    <r>
      <rPr>
        <sz val="10"/>
        <rFont val="Noto Sans CJK SC"/>
        <family val="2"/>
      </rPr>
      <t xml:space="preserve">事前チェック</t>
    </r>
    <r>
      <rPr>
        <sz val="10"/>
        <rFont val="Meiryo UI"/>
        <family val="0"/>
        <charset val="1"/>
      </rPr>
      <t xml:space="preserve">NG</t>
    </r>
    <r>
      <rPr>
        <sz val="10"/>
        <rFont val="Noto Sans CJK SC"/>
        <family val="2"/>
      </rPr>
      <t xml:space="preserve">／中途半端状態を重点確認</t>
    </r>
  </si>
  <si>
    <r>
      <rPr>
        <sz val="10"/>
        <rFont val="Noto Sans CJK SC"/>
        <family val="2"/>
      </rPr>
      <t xml:space="preserve">実ドライブでの最終確認（</t>
    </r>
    <r>
      <rPr>
        <sz val="10"/>
        <rFont val="Meiryo UI"/>
        <family val="0"/>
        <charset val="1"/>
      </rPr>
      <t xml:space="preserve">dev D: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</si>
  <si>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縮小不可のため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回のみ実施</t>
    </r>
  </si>
  <si>
    <t xml:space="preserve">テスト結果報告書作成</t>
  </si>
  <si>
    <t xml:space="preserve">⑤ 本番展開・引継ぎ</t>
  </si>
  <si>
    <t xml:space="preserve">prd</t>
  </si>
  <si>
    <r>
      <rPr>
        <sz val="10"/>
        <rFont val="Noto Sans CJK SC"/>
        <family val="2"/>
      </rPr>
      <t xml:space="preserve">本番環境構築（アラーム・</t>
    </r>
    <r>
      <rPr>
        <sz val="10"/>
        <rFont val="Meiryo UI"/>
        <family val="0"/>
        <charset val="1"/>
      </rPr>
      <t xml:space="preserve">Parameter Store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SNS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</si>
  <si>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案（通知のみモード）を前提</t>
    </r>
  </si>
  <si>
    <r>
      <rPr>
        <sz val="10"/>
        <rFont val="Noto Sans CJK SC"/>
        <family val="2"/>
      </rPr>
      <t xml:space="preserve">本番動作確認（通知／手動</t>
    </r>
    <r>
      <rPr>
        <sz val="10"/>
        <rFont val="Meiryo UI"/>
        <family val="0"/>
        <charset val="1"/>
      </rPr>
      <t xml:space="preserve">Automation</t>
    </r>
    <r>
      <rPr>
        <sz val="10"/>
        <rFont val="Noto Sans CJK SC"/>
        <family val="2"/>
      </rPr>
      <t xml:space="preserve">実行）</t>
    </r>
  </si>
  <si>
    <t xml:space="preserve">本番作業のため事前承認が必要</t>
  </si>
  <si>
    <t xml:space="preserve">運用手順書作成（手動実行／手動復旧／障害対応）</t>
  </si>
  <si>
    <t xml:space="preserve">運用引継ぎ説明</t>
  </si>
  <si>
    <t xml:space="preserve">⑥ プロジェクト管理</t>
  </si>
  <si>
    <t xml:space="preserve">進捗報告、定例対応、課題管理</t>
  </si>
  <si>
    <r>
      <rPr>
        <sz val="10"/>
        <rFont val="Noto Sans CJK SC"/>
        <family val="2"/>
      </rPr>
      <t xml:space="preserve">実施期間</t>
    </r>
    <r>
      <rPr>
        <sz val="10"/>
        <rFont val="Meiryo UI"/>
        <family val="0"/>
        <charset val="1"/>
      </rPr>
      <t xml:space="preserve">6</t>
    </r>
    <r>
      <rPr>
        <sz val="10"/>
        <rFont val="Noto Sans CJK SC"/>
        <family val="2"/>
      </rPr>
      <t xml:space="preserve">週間程度を想定</t>
    </r>
  </si>
  <si>
    <t xml:space="preserve">総合計</t>
  </si>
  <si>
    <t xml:space="preserve">【凡例】</t>
  </si>
  <si>
    <r>
      <rPr>
        <sz val="9"/>
        <rFont val="Noto Sans CJK SC"/>
        <family val="2"/>
      </rPr>
      <t xml:space="preserve">　・青字セル（</t>
    </r>
    <r>
      <rPr>
        <sz val="9"/>
        <rFont val="Meiryo UI"/>
        <family val="0"/>
        <charset val="1"/>
      </rPr>
      <t xml:space="preserve">G</t>
    </r>
    <r>
      <rPr>
        <sz val="9"/>
        <rFont val="Noto Sans CJK SC"/>
        <family val="2"/>
      </rPr>
      <t xml:space="preserve">列：工数</t>
    </r>
    <r>
      <rPr>
        <sz val="9"/>
        <rFont val="Meiryo UI"/>
        <family val="0"/>
        <charset val="1"/>
      </rPr>
      <t xml:space="preserve">(</t>
    </r>
    <r>
      <rPr>
        <sz val="9"/>
        <rFont val="Noto Sans CJK SC"/>
        <family val="2"/>
      </rPr>
      <t xml:space="preserve">人日</t>
    </r>
    <r>
      <rPr>
        <sz val="9"/>
        <rFont val="Meiryo UI"/>
        <family val="0"/>
        <charset val="1"/>
      </rPr>
      <t xml:space="preserve">) </t>
    </r>
    <r>
      <rPr>
        <sz val="9"/>
        <rFont val="Noto Sans CJK SC"/>
        <family val="2"/>
      </rPr>
      <t xml:space="preserve">原単位）が入力セルです。ここを編集すると合計・時間が自動再計算されます。</t>
    </r>
  </si>
  <si>
    <r>
      <rPr>
        <sz val="9"/>
        <rFont val="Noto Sans CJK SC"/>
        <family val="2"/>
      </rPr>
      <t xml:space="preserve">　・工数</t>
    </r>
    <r>
      <rPr>
        <sz val="9"/>
        <rFont val="Meiryo UI"/>
        <family val="0"/>
        <charset val="1"/>
      </rPr>
      <t xml:space="preserve">(</t>
    </r>
    <r>
      <rPr>
        <sz val="9"/>
        <rFont val="Noto Sans CJK SC"/>
        <family val="2"/>
      </rPr>
      <t xml:space="preserve">時間</t>
    </r>
    <r>
      <rPr>
        <sz val="9"/>
        <rFont val="Meiryo UI"/>
        <family val="0"/>
        <charset val="1"/>
      </rPr>
      <t xml:space="preserve">) = </t>
    </r>
    <r>
      <rPr>
        <sz val="9"/>
        <rFont val="Noto Sans CJK SC"/>
        <family val="2"/>
      </rPr>
      <t xml:space="preserve">工数</t>
    </r>
    <r>
      <rPr>
        <sz val="9"/>
        <rFont val="Meiryo UI"/>
        <family val="0"/>
        <charset val="1"/>
      </rPr>
      <t xml:space="preserve">(</t>
    </r>
    <r>
      <rPr>
        <sz val="9"/>
        <rFont val="Noto Sans CJK SC"/>
        <family val="2"/>
      </rPr>
      <t xml:space="preserve">人日</t>
    </r>
    <r>
      <rPr>
        <sz val="9"/>
        <rFont val="Meiryo UI"/>
        <family val="0"/>
        <charset val="1"/>
      </rPr>
      <t xml:space="preserve">) × 8</t>
    </r>
    <r>
      <rPr>
        <sz val="9"/>
        <rFont val="Noto Sans CJK SC"/>
        <family val="2"/>
      </rPr>
      <t xml:space="preserve">時間 で算出しています。</t>
    </r>
  </si>
  <si>
    <t xml:space="preserve">【前提条件】</t>
  </si>
  <si>
    <r>
      <rPr>
        <sz val="9"/>
        <rFont val="Noto Sans CJK SC"/>
        <family val="2"/>
      </rPr>
      <t xml:space="preserve">　・対象は </t>
    </r>
    <r>
      <rPr>
        <sz val="9"/>
        <rFont val="Meiryo UI"/>
        <family val="0"/>
        <charset val="1"/>
      </rPr>
      <t xml:space="preserve">nonsap-prd-dataspider / nonsap-dev-dataspider </t>
    </r>
    <r>
      <rPr>
        <sz val="9"/>
        <rFont val="Noto Sans CJK SC"/>
        <family val="2"/>
      </rPr>
      <t xml:space="preserve">の</t>
    </r>
    <r>
      <rPr>
        <sz val="9"/>
        <rFont val="Meiryo UI"/>
        <family val="0"/>
        <charset val="1"/>
      </rPr>
      <t xml:space="preserve">2</t>
    </r>
    <r>
      <rPr>
        <sz val="9"/>
        <rFont val="Noto Sans CJK SC"/>
        <family val="2"/>
      </rPr>
      <t xml:space="preserve">台、</t>
    </r>
    <r>
      <rPr>
        <sz val="9"/>
        <rFont val="Meiryo UI"/>
        <family val="0"/>
        <charset val="1"/>
      </rPr>
      <t xml:space="preserve">D:</t>
    </r>
    <r>
      <rPr>
        <sz val="9"/>
        <rFont val="Noto Sans CJK SC"/>
        <family val="2"/>
      </rPr>
      <t xml:space="preserve">／</t>
    </r>
    <r>
      <rPr>
        <sz val="9"/>
        <rFont val="Meiryo UI"/>
        <family val="0"/>
        <charset val="1"/>
      </rPr>
      <t xml:space="preserve">E: </t>
    </r>
    <r>
      <rPr>
        <sz val="9"/>
        <rFont val="Noto Sans CJK SC"/>
        <family val="2"/>
      </rPr>
      <t xml:space="preserve">の計</t>
    </r>
    <r>
      <rPr>
        <sz val="9"/>
        <rFont val="Meiryo UI"/>
        <family val="0"/>
        <charset val="1"/>
      </rPr>
      <t xml:space="preserve">4</t>
    </r>
    <r>
      <rPr>
        <sz val="9"/>
        <rFont val="Noto Sans CJK SC"/>
        <family val="2"/>
      </rPr>
      <t xml:space="preserve">ボリュームとする。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</si>
  <si>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Phase1</t>
    </r>
    <r>
      <rPr>
        <sz val="9"/>
        <rFont val="Noto Sans CJK SC"/>
        <family val="2"/>
      </rPr>
      <t xml:space="preserve">は</t>
    </r>
    <r>
      <rPr>
        <sz val="9"/>
        <rFont val="Meiryo UI"/>
        <family val="0"/>
        <charset val="1"/>
      </rPr>
      <t xml:space="preserve">A</t>
    </r>
    <r>
      <rPr>
        <sz val="9"/>
        <rFont val="Noto Sans CJK SC"/>
        <family val="2"/>
      </rPr>
      <t xml:space="preserve">案（開発環境</t>
    </r>
    <r>
      <rPr>
        <sz val="9"/>
        <rFont val="Meiryo UI"/>
        <family val="0"/>
        <charset val="1"/>
      </rPr>
      <t xml:space="preserve">=</t>
    </r>
    <r>
      <rPr>
        <sz val="9"/>
        <rFont val="Noto Sans CJK SC"/>
        <family val="2"/>
      </rPr>
      <t xml:space="preserve">自動拡張／本番環境</t>
    </r>
    <r>
      <rPr>
        <sz val="9"/>
        <rFont val="Meiryo UI"/>
        <family val="0"/>
        <charset val="1"/>
      </rPr>
      <t xml:space="preserve">=</t>
    </r>
    <r>
      <rPr>
        <sz val="9"/>
        <rFont val="Noto Sans CJK SC"/>
        <family val="2"/>
      </rPr>
      <t xml:space="preserve">通知のみ）を前提とする。本番自動化（</t>
    </r>
    <r>
      <rPr>
        <sz val="9"/>
        <rFont val="Meiryo UI"/>
        <family val="0"/>
        <charset val="1"/>
      </rPr>
      <t xml:space="preserve">B</t>
    </r>
    <r>
      <rPr>
        <sz val="9"/>
        <rFont val="Noto Sans CJK SC"/>
        <family val="2"/>
      </rPr>
      <t xml:space="preserve">案）は「</t>
    </r>
    <r>
      <rPr>
        <sz val="9"/>
        <rFont val="Meiryo UI"/>
        <family val="0"/>
        <charset val="1"/>
      </rPr>
      <t xml:space="preserve">Phase2(</t>
    </r>
    <r>
      <rPr>
        <sz val="9"/>
        <rFont val="Noto Sans CJK SC"/>
        <family val="2"/>
      </rPr>
      <t xml:space="preserve">参考</t>
    </r>
    <r>
      <rPr>
        <sz val="9"/>
        <rFont val="Meiryo UI"/>
        <family val="0"/>
        <charset val="1"/>
      </rPr>
      <t xml:space="preserve">)</t>
    </r>
    <r>
      <rPr>
        <sz val="9"/>
        <rFont val="Noto Sans CJK SC"/>
        <family val="2"/>
      </rPr>
      <t xml:space="preserve">」シート参照。</t>
    </r>
  </si>
  <si>
    <r>
      <rPr>
        <sz val="9"/>
        <rFont val="Noto Sans CJK SC"/>
        <family val="2"/>
      </rPr>
      <t xml:space="preserve">　・既存の</t>
    </r>
    <r>
      <rPr>
        <sz val="9"/>
        <rFont val="Meiryo UI"/>
        <family val="0"/>
        <charset val="1"/>
      </rPr>
      <t xml:space="preserve">20%</t>
    </r>
    <r>
      <rPr>
        <sz val="9"/>
        <rFont val="Noto Sans CJK SC"/>
        <family val="2"/>
      </rPr>
      <t xml:space="preserve">メール通知は変更しない。</t>
    </r>
    <r>
      <rPr>
        <sz val="9"/>
        <rFont val="Meiryo UI"/>
        <family val="0"/>
        <charset val="1"/>
      </rPr>
      <t xml:space="preserve">GDS</t>
    </r>
    <r>
      <rPr>
        <sz val="9"/>
        <rFont val="Noto Sans CJK SC"/>
        <family val="2"/>
      </rPr>
      <t xml:space="preserve">連携は対象外とする。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</si>
  <si>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Terraform</t>
    </r>
    <r>
      <rPr>
        <sz val="9"/>
        <rFont val="Noto Sans CJK SC"/>
        <family val="2"/>
      </rPr>
      <t xml:space="preserve">等の</t>
    </r>
    <r>
      <rPr>
        <sz val="9"/>
        <rFont val="Meiryo UI"/>
        <family val="0"/>
        <charset val="1"/>
      </rPr>
      <t xml:space="preserve">IaC</t>
    </r>
    <r>
      <rPr>
        <sz val="9"/>
        <rFont val="Noto Sans CJK SC"/>
        <family val="2"/>
      </rPr>
      <t xml:space="preserve">は使用せず、</t>
    </r>
    <r>
      <rPr>
        <sz val="9"/>
        <rFont val="Meiryo UI"/>
        <family val="0"/>
        <charset val="1"/>
      </rPr>
      <t xml:space="preserve">Console</t>
    </r>
    <r>
      <rPr>
        <sz val="9"/>
        <rFont val="Noto Sans CJK SC"/>
        <family val="2"/>
      </rPr>
      <t xml:space="preserve">での手動構築とする（構築手順書を成果物に含む）。</t>
    </r>
  </si>
  <si>
    <r>
      <rPr>
        <sz val="9"/>
        <rFont val="Noto Sans CJK SC"/>
        <family val="2"/>
      </rPr>
      <t xml:space="preserve">　・テストは費用抑制のためテスト専用ボリューム</t>
    </r>
    <r>
      <rPr>
        <sz val="9"/>
        <rFont val="Meiryo UI"/>
        <family val="0"/>
        <charset val="1"/>
      </rPr>
      <t xml:space="preserve">(10GB)</t>
    </r>
    <r>
      <rPr>
        <sz val="9"/>
        <rFont val="Noto Sans CJK SC"/>
        <family val="2"/>
      </rPr>
      <t xml:space="preserve">を用いる方式とする。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</si>
  <si>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EBS</t>
    </r>
    <r>
      <rPr>
        <sz val="9"/>
        <rFont val="Noto Sans CJK SC"/>
        <family val="2"/>
      </rPr>
      <t xml:space="preserve">ボリュームは縮小できないため、テストで拡張した容量は元に戻せない（事前合意が必要）。</t>
    </r>
  </si>
  <si>
    <t xml:space="preserve">【本見積に含まれないもの】</t>
  </si>
  <si>
    <r>
      <rPr>
        <sz val="9"/>
        <rFont val="Noto Sans CJK SC"/>
        <family val="2"/>
      </rPr>
      <t xml:space="preserve">　・上記</t>
    </r>
    <r>
      <rPr>
        <sz val="9"/>
        <rFont val="Meiryo UI"/>
        <family val="0"/>
        <charset val="1"/>
      </rPr>
      <t xml:space="preserve">2</t>
    </r>
    <r>
      <rPr>
        <sz val="9"/>
        <rFont val="Noto Sans CJK SC"/>
        <family val="2"/>
      </rPr>
      <t xml:space="preserve">台以外のサーバへの展開、</t>
    </r>
    <r>
      <rPr>
        <sz val="9"/>
        <rFont val="Meiryo UI"/>
        <family val="0"/>
        <charset val="1"/>
      </rPr>
      <t xml:space="preserve">C:</t>
    </r>
    <r>
      <rPr>
        <sz val="9"/>
        <rFont val="Noto Sans CJK SC"/>
        <family val="2"/>
      </rPr>
      <t xml:space="preserve">ドライブの対応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</si>
  <si>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GDS</t>
    </r>
    <r>
      <rPr>
        <sz val="9"/>
        <rFont val="Noto Sans CJK SC"/>
        <family val="2"/>
      </rPr>
      <t xml:space="preserve">側の設定変更・連携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</si>
  <si>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Teams</t>
    </r>
    <r>
      <rPr>
        <sz val="9"/>
        <rFont val="Noto Sans CJK SC"/>
        <family val="2"/>
      </rPr>
      <t xml:space="preserve">連携（</t>
    </r>
    <r>
      <rPr>
        <sz val="9"/>
        <rFont val="Meiryo UI"/>
        <family val="0"/>
        <charset val="1"/>
      </rPr>
      <t xml:space="preserve">AWS Chatbot</t>
    </r>
    <r>
      <rPr>
        <sz val="9"/>
        <rFont val="Noto Sans CJK SC"/>
        <family val="2"/>
      </rPr>
      <t xml:space="preserve">）※必要な場合は追加</t>
    </r>
    <r>
      <rPr>
        <sz val="9"/>
        <rFont val="Meiryo UI"/>
        <family val="0"/>
        <charset val="1"/>
      </rPr>
      <t xml:space="preserve">0.5</t>
    </r>
    <r>
      <rPr>
        <sz val="9"/>
        <rFont val="Noto Sans CJK SC"/>
        <family val="2"/>
      </rPr>
      <t xml:space="preserve">人日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</si>
  <si>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IaC</t>
    </r>
    <r>
      <rPr>
        <sz val="9"/>
        <rFont val="Noto Sans CJK SC"/>
        <family val="2"/>
      </rPr>
      <t xml:space="preserve">（</t>
    </r>
    <r>
      <rPr>
        <sz val="9"/>
        <rFont val="Meiryo UI"/>
        <family val="0"/>
        <charset val="1"/>
      </rPr>
      <t xml:space="preserve">CloudFormation</t>
    </r>
    <r>
      <rPr>
        <sz val="9"/>
        <rFont val="Noto Sans CJK SC"/>
        <family val="2"/>
      </rPr>
      <t xml:space="preserve">／</t>
    </r>
    <r>
      <rPr>
        <sz val="9"/>
        <rFont val="Meiryo UI"/>
        <family val="0"/>
        <charset val="1"/>
      </rPr>
      <t xml:space="preserve">Terraform</t>
    </r>
    <r>
      <rPr>
        <sz val="9"/>
        <rFont val="Noto Sans CJK SC"/>
        <family val="2"/>
      </rPr>
      <t xml:space="preserve">）化</t>
    </r>
  </si>
  <si>
    <r>
      <rPr>
        <b val="true"/>
        <sz val="14"/>
        <rFont val="Meiryo UI"/>
        <family val="0"/>
        <charset val="1"/>
      </rPr>
      <t xml:space="preserve">Phase2 </t>
    </r>
    <r>
      <rPr>
        <b val="true"/>
        <sz val="14"/>
        <rFont val="Noto Sans CJK SC"/>
        <family val="2"/>
      </rPr>
      <t xml:space="preserve">追加見積り（参考）</t>
    </r>
  </si>
  <si>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案：本番環境も自動拡張（</t>
    </r>
    <r>
      <rPr>
        <sz val="10"/>
        <rFont val="Meiryo UI"/>
        <family val="0"/>
        <charset val="1"/>
      </rPr>
      <t xml:space="preserve">SSM Change Calendar </t>
    </r>
    <r>
      <rPr>
        <sz val="10"/>
        <rFont val="Noto Sans CJK SC"/>
        <family val="2"/>
      </rPr>
      <t xml:space="preserve">による時間帯制御＋緊急オーバーライド）</t>
    </r>
  </si>
  <si>
    <r>
      <rPr>
        <sz val="9"/>
        <color rgb="FFC00000"/>
        <rFont val="Meiryo UI"/>
        <family val="0"/>
        <charset val="1"/>
      </rPr>
      <t xml:space="preserve">※ Phase1</t>
    </r>
    <r>
      <rPr>
        <sz val="9"/>
        <color rgb="FFC00000"/>
        <rFont val="Noto Sans CJK SC"/>
        <family val="2"/>
      </rPr>
      <t xml:space="preserve">の総合計には含みません。次期提案用の参考値です。</t>
    </r>
  </si>
  <si>
    <r>
      <rPr>
        <sz val="10"/>
        <rFont val="Meiryo UI"/>
        <family val="0"/>
        <charset val="1"/>
      </rPr>
      <t xml:space="preserve">AWS</t>
    </r>
    <r>
      <rPr>
        <sz val="10"/>
        <rFont val="Noto Sans CJK SC"/>
        <family val="2"/>
      </rPr>
      <t xml:space="preserve">監視改修（本番自動化）</t>
    </r>
  </si>
  <si>
    <r>
      <rPr>
        <sz val="10"/>
        <rFont val="Noto Sans CJK SC"/>
        <family val="2"/>
      </rPr>
      <t xml:space="preserve">追加設計（</t>
    </r>
    <r>
      <rPr>
        <sz val="10"/>
        <rFont val="Meiryo UI"/>
        <family val="0"/>
        <charset val="1"/>
      </rPr>
      <t xml:space="preserve">Change Calendar</t>
    </r>
    <r>
      <rPr>
        <sz val="10"/>
        <rFont val="Noto Sans CJK SC"/>
        <family val="2"/>
      </rPr>
      <t xml:space="preserve">／緊急オーバーライド／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段階閾値）</t>
    </r>
  </si>
  <si>
    <r>
      <rPr>
        <sz val="10"/>
        <rFont val="Meiryo UI"/>
        <family val="0"/>
        <charset val="1"/>
      </rPr>
      <t xml:space="preserve">SSM Change Calendar </t>
    </r>
    <r>
      <rPr>
        <sz val="10"/>
        <rFont val="Noto Sans CJK SC"/>
        <family val="2"/>
      </rPr>
      <t xml:space="preserve">作成・営業日／祝日登録</t>
    </r>
  </si>
  <si>
    <t xml:space="preserve">祝日メンテは運用タスクとして残る</t>
  </si>
  <si>
    <r>
      <rPr>
        <sz val="10"/>
        <rFont val="Meiryo UI"/>
        <family val="0"/>
        <charset val="1"/>
      </rPr>
      <t xml:space="preserve">CloudWatch</t>
    </r>
    <r>
      <rPr>
        <sz val="10"/>
        <rFont val="Noto Sans CJK SC"/>
        <family val="2"/>
      </rPr>
      <t xml:space="preserve">アラーム追加（</t>
    </r>
    <r>
      <rPr>
        <sz val="10"/>
        <rFont val="Meiryo UI"/>
        <family val="0"/>
        <charset val="1"/>
      </rPr>
      <t xml:space="preserve">5%</t>
    </r>
    <r>
      <rPr>
        <sz val="10"/>
        <rFont val="Noto Sans CJK SC"/>
        <family val="2"/>
      </rPr>
      <t xml:space="preserve">閾値 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本）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</si>
  <si>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改修（カレンダー判定／緊急分岐）</t>
    </r>
  </si>
  <si>
    <t xml:space="preserve">テスト（追加シナリオ・カレンダー境界値）</t>
  </si>
  <si>
    <t xml:space="preserve">本番自動化への切替・動作確認</t>
  </si>
  <si>
    <t xml:space="preserve">運用手順書改訂・結果報告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</si>
</sst>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"/>
    <numFmt numFmtId="166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0"/>
      <name val="Meiryo UI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Meiryo UI"/>
      <family val="0"/>
      <charset val="1"/>
    </font>
    <font>
      <sz val="10"/>
      <color rgb="FF0000FF"/>
      <name val="Meiryo UI"/>
      <family val="0"/>
      <charset val="1"/>
    </font>
    <font>
      <b val="true"/>
      <sz val="9"/>
      <name val="Noto Sans CJK SC"/>
      <family val="2"/>
    </font>
    <font>
      <sz val="9"/>
      <name val="Noto Sans CJK SC"/>
      <family val="2"/>
    </font>
    <font>
      <sz val="9"/>
      <name val="Meiryo UI"/>
      <family val="0"/>
      <charset val="1"/>
    </font>
    <font>
      <b val="true"/>
      <sz val="14"/>
      <name val="Meiryo UI"/>
      <family val="0"/>
      <charset val="1"/>
    </font>
    <font>
      <sz val="9"/>
      <color rgb="FFC00000"/>
      <name val="Meiryo UI"/>
      <family val="0"/>
      <charset val="1"/>
    </font>
    <font>
      <sz val="9"/>
      <color rgb="FFC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10" min="7" style="0" width="9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8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/>
      <c r="I4" s="3" t="s">
        <v>8</v>
      </c>
      <c r="J4" s="3"/>
    </row>
    <row r="5" customFormat="false" ht="18" hidden="false" customHeight="true" outlineLevel="0" collapsed="false">
      <c r="B5" s="3"/>
      <c r="C5" s="3"/>
      <c r="D5" s="3"/>
      <c r="E5" s="3"/>
      <c r="F5" s="3"/>
      <c r="G5" s="3" t="s">
        <v>9</v>
      </c>
      <c r="H5" s="3" t="s">
        <v>10</v>
      </c>
      <c r="I5" s="3" t="s">
        <v>9</v>
      </c>
      <c r="J5" s="3" t="s">
        <v>10</v>
      </c>
    </row>
    <row r="6" customFormat="false" ht="19.5" hidden="false" customHeight="true" outlineLevel="0" collapsed="false">
      <c r="B6" s="4" t="s">
        <v>11</v>
      </c>
      <c r="C6" s="4" t="s">
        <v>12</v>
      </c>
      <c r="D6" s="5" t="s">
        <v>13</v>
      </c>
      <c r="E6" s="4" t="s">
        <v>14</v>
      </c>
      <c r="F6" s="4" t="s">
        <v>15</v>
      </c>
      <c r="G6" s="6" t="n">
        <v>0.5</v>
      </c>
      <c r="H6" s="7"/>
      <c r="I6" s="8" t="n">
        <f aca="false">G6*8</f>
        <v>4</v>
      </c>
      <c r="J6" s="8"/>
    </row>
    <row r="7" customFormat="false" ht="19.5" hidden="false" customHeight="true" outlineLevel="0" collapsed="false">
      <c r="B7" s="4"/>
      <c r="C7" s="4"/>
      <c r="D7" s="5"/>
      <c r="E7" s="4" t="s">
        <v>16</v>
      </c>
      <c r="F7" s="4"/>
      <c r="G7" s="6" t="n">
        <v>2</v>
      </c>
      <c r="H7" s="7"/>
      <c r="I7" s="8" t="n">
        <f aca="false">G7*8</f>
        <v>16</v>
      </c>
      <c r="J7" s="8"/>
    </row>
    <row r="8" customFormat="false" ht="19.5" hidden="false" customHeight="true" outlineLevel="0" collapsed="false">
      <c r="B8" s="4"/>
      <c r="C8" s="4"/>
      <c r="D8" s="5"/>
      <c r="E8" s="4" t="s">
        <v>17</v>
      </c>
      <c r="F8" s="4" t="s">
        <v>18</v>
      </c>
      <c r="G8" s="6" t="n">
        <v>1</v>
      </c>
      <c r="H8" s="7"/>
      <c r="I8" s="8" t="n">
        <f aca="false">G8*8</f>
        <v>8</v>
      </c>
      <c r="J8" s="8"/>
    </row>
    <row r="9" customFormat="false" ht="19.5" hidden="false" customHeight="true" outlineLevel="0" collapsed="false">
      <c r="B9" s="4"/>
      <c r="C9" s="4"/>
      <c r="D9" s="5"/>
      <c r="E9" s="4" t="s">
        <v>19</v>
      </c>
      <c r="F9" s="4"/>
      <c r="G9" s="6" t="n">
        <v>0.5</v>
      </c>
      <c r="H9" s="9" t="n">
        <f aca="false">SUM(G6:G9)</f>
        <v>4</v>
      </c>
      <c r="I9" s="8" t="n">
        <f aca="false">G9*8</f>
        <v>4</v>
      </c>
      <c r="J9" s="10" t="n">
        <f aca="false">SUM(I6:I9)</f>
        <v>32</v>
      </c>
    </row>
    <row r="10" customFormat="false" ht="19.5" hidden="false" customHeight="true" outlineLevel="0" collapsed="false">
      <c r="B10" s="4"/>
      <c r="C10" s="11" t="s">
        <v>20</v>
      </c>
      <c r="D10" s="12" t="s">
        <v>21</v>
      </c>
      <c r="E10" s="11" t="s">
        <v>22</v>
      </c>
      <c r="F10" s="11"/>
      <c r="G10" s="6" t="n">
        <v>0.5</v>
      </c>
      <c r="H10" s="7"/>
      <c r="I10" s="8" t="n">
        <f aca="false">G10*8</f>
        <v>4</v>
      </c>
      <c r="J10" s="8"/>
    </row>
    <row r="11" customFormat="false" ht="19.5" hidden="false" customHeight="true" outlineLevel="0" collapsed="false">
      <c r="B11" s="4"/>
      <c r="C11" s="4"/>
      <c r="D11" s="12"/>
      <c r="E11" s="11" t="s">
        <v>23</v>
      </c>
      <c r="F11" s="4" t="s">
        <v>24</v>
      </c>
      <c r="G11" s="6" t="n">
        <v>0.5</v>
      </c>
      <c r="H11" s="7"/>
      <c r="I11" s="8" t="n">
        <f aca="false">G11*8</f>
        <v>4</v>
      </c>
      <c r="J11" s="8"/>
    </row>
    <row r="12" customFormat="false" ht="19.5" hidden="false" customHeight="true" outlineLevel="0" collapsed="false">
      <c r="B12" s="4"/>
      <c r="C12" s="4"/>
      <c r="D12" s="12"/>
      <c r="E12" s="11" t="s">
        <v>25</v>
      </c>
      <c r="F12" s="11" t="s">
        <v>26</v>
      </c>
      <c r="G12" s="6" t="n">
        <v>0.5</v>
      </c>
      <c r="H12" s="7"/>
      <c r="I12" s="8" t="n">
        <f aca="false">G12*8</f>
        <v>4</v>
      </c>
      <c r="J12" s="8"/>
    </row>
    <row r="13" customFormat="false" ht="19.5" hidden="false" customHeight="true" outlineLevel="0" collapsed="false">
      <c r="B13" s="4"/>
      <c r="C13" s="4"/>
      <c r="D13" s="12"/>
      <c r="E13" s="11" t="s">
        <v>27</v>
      </c>
      <c r="F13" s="11"/>
      <c r="G13" s="6" t="n">
        <v>0.5</v>
      </c>
      <c r="H13" s="7"/>
      <c r="I13" s="8" t="n">
        <f aca="false">G13*8</f>
        <v>4</v>
      </c>
      <c r="J13" s="8"/>
    </row>
    <row r="14" customFormat="false" ht="19.5" hidden="false" customHeight="true" outlineLevel="0" collapsed="false">
      <c r="B14" s="4"/>
      <c r="C14" s="4"/>
      <c r="D14" s="12"/>
      <c r="E14" s="11" t="s">
        <v>28</v>
      </c>
      <c r="F14" s="11"/>
      <c r="G14" s="6" t="n">
        <v>0.25</v>
      </c>
      <c r="H14" s="9" t="n">
        <f aca="false">SUM(G10:G14)</f>
        <v>2.25</v>
      </c>
      <c r="I14" s="8" t="n">
        <f aca="false">G14*8</f>
        <v>2</v>
      </c>
      <c r="J14" s="10" t="n">
        <f aca="false">SUM(I10:I14)</f>
        <v>18</v>
      </c>
    </row>
    <row r="15" customFormat="false" ht="19.5" hidden="false" customHeight="true" outlineLevel="0" collapsed="false">
      <c r="B15" s="4"/>
      <c r="C15" s="4" t="s">
        <v>29</v>
      </c>
      <c r="D15" s="12" t="s">
        <v>21</v>
      </c>
      <c r="E15" s="11" t="s">
        <v>30</v>
      </c>
      <c r="F15" s="11"/>
      <c r="G15" s="6" t="n">
        <v>0.5</v>
      </c>
      <c r="H15" s="7"/>
      <c r="I15" s="8" t="n">
        <f aca="false">G15*8</f>
        <v>4</v>
      </c>
      <c r="J15" s="8"/>
    </row>
    <row r="16" customFormat="false" ht="19.5" hidden="false" customHeight="true" outlineLevel="0" collapsed="false">
      <c r="B16" s="4"/>
      <c r="C16" s="4"/>
      <c r="D16" s="12"/>
      <c r="E16" s="11" t="s">
        <v>31</v>
      </c>
      <c r="F16" s="11"/>
      <c r="G16" s="6" t="n">
        <v>0.5</v>
      </c>
      <c r="H16" s="7"/>
      <c r="I16" s="8" t="n">
        <f aca="false">G16*8</f>
        <v>4</v>
      </c>
      <c r="J16" s="8"/>
    </row>
    <row r="17" customFormat="false" ht="19.5" hidden="false" customHeight="true" outlineLevel="0" collapsed="false">
      <c r="B17" s="4"/>
      <c r="C17" s="4"/>
      <c r="D17" s="12"/>
      <c r="E17" s="11" t="s">
        <v>32</v>
      </c>
      <c r="F17" s="11"/>
      <c r="G17" s="6" t="n">
        <v>1.5</v>
      </c>
      <c r="H17" s="7"/>
      <c r="I17" s="8" t="n">
        <f aca="false">G17*8</f>
        <v>12</v>
      </c>
      <c r="J17" s="8"/>
    </row>
    <row r="18" customFormat="false" ht="19.5" hidden="false" customHeight="true" outlineLevel="0" collapsed="false">
      <c r="B18" s="4"/>
      <c r="C18" s="4"/>
      <c r="D18" s="12"/>
      <c r="E18" s="11" t="s">
        <v>33</v>
      </c>
      <c r="F18" s="11"/>
      <c r="G18" s="6" t="n">
        <v>1.5</v>
      </c>
      <c r="H18" s="7"/>
      <c r="I18" s="8" t="n">
        <f aca="false">G18*8</f>
        <v>12</v>
      </c>
      <c r="J18" s="8"/>
    </row>
    <row r="19" customFormat="false" ht="19.5" hidden="false" customHeight="true" outlineLevel="0" collapsed="false">
      <c r="B19" s="4"/>
      <c r="C19" s="4"/>
      <c r="D19" s="12"/>
      <c r="E19" s="11" t="s">
        <v>34</v>
      </c>
      <c r="F19" s="11"/>
      <c r="G19" s="6" t="n">
        <v>1</v>
      </c>
      <c r="H19" s="7"/>
      <c r="I19" s="8" t="n">
        <f aca="false">G19*8</f>
        <v>8</v>
      </c>
      <c r="J19" s="8"/>
    </row>
    <row r="20" customFormat="false" ht="19.5" hidden="false" customHeight="true" outlineLevel="0" collapsed="false">
      <c r="B20" s="4"/>
      <c r="C20" s="4"/>
      <c r="D20" s="12"/>
      <c r="E20" s="11" t="s">
        <v>35</v>
      </c>
      <c r="F20" s="11"/>
      <c r="G20" s="6" t="n">
        <v>1</v>
      </c>
      <c r="H20" s="7"/>
      <c r="I20" s="8" t="n">
        <f aca="false">G20*8</f>
        <v>8</v>
      </c>
      <c r="J20" s="8"/>
    </row>
    <row r="21" customFormat="false" ht="19.5" hidden="false" customHeight="true" outlineLevel="0" collapsed="false">
      <c r="B21" s="4"/>
      <c r="C21" s="4"/>
      <c r="D21" s="12"/>
      <c r="E21" s="11" t="s">
        <v>36</v>
      </c>
      <c r="F21" s="11"/>
      <c r="G21" s="6" t="n">
        <v>1</v>
      </c>
      <c r="H21" s="7"/>
      <c r="I21" s="8" t="n">
        <f aca="false">G21*8</f>
        <v>8</v>
      </c>
      <c r="J21" s="8"/>
    </row>
    <row r="22" customFormat="false" ht="19.5" hidden="false" customHeight="true" outlineLevel="0" collapsed="false">
      <c r="B22" s="4"/>
      <c r="C22" s="4"/>
      <c r="D22" s="12"/>
      <c r="E22" s="4" t="s">
        <v>37</v>
      </c>
      <c r="F22" s="11"/>
      <c r="G22" s="6" t="n">
        <v>1.5</v>
      </c>
      <c r="H22" s="9" t="n">
        <f aca="false">SUM(G15:G22)</f>
        <v>8.5</v>
      </c>
      <c r="I22" s="8" t="n">
        <f aca="false">G22*8</f>
        <v>12</v>
      </c>
      <c r="J22" s="10" t="n">
        <f aca="false">SUM(I15:I22)</f>
        <v>68</v>
      </c>
    </row>
    <row r="23" customFormat="false" ht="19.5" hidden="false" customHeight="true" outlineLevel="0" collapsed="false">
      <c r="B23" s="4"/>
      <c r="C23" s="4" t="s">
        <v>38</v>
      </c>
      <c r="D23" s="12" t="s">
        <v>21</v>
      </c>
      <c r="E23" s="4" t="s">
        <v>39</v>
      </c>
      <c r="F23" s="11"/>
      <c r="G23" s="6" t="n">
        <v>1</v>
      </c>
      <c r="H23" s="7"/>
      <c r="I23" s="8" t="n">
        <f aca="false">G23*8</f>
        <v>8</v>
      </c>
      <c r="J23" s="8"/>
    </row>
    <row r="24" customFormat="false" ht="19.5" hidden="false" customHeight="true" outlineLevel="0" collapsed="false">
      <c r="B24" s="4"/>
      <c r="C24" s="4"/>
      <c r="D24" s="12"/>
      <c r="E24" s="4" t="s">
        <v>40</v>
      </c>
      <c r="F24" s="4" t="s">
        <v>41</v>
      </c>
      <c r="G24" s="6" t="n">
        <v>0.5</v>
      </c>
      <c r="H24" s="7"/>
      <c r="I24" s="8" t="n">
        <f aca="false">G24*8</f>
        <v>4</v>
      </c>
      <c r="J24" s="8"/>
    </row>
    <row r="25" customFormat="false" ht="19.5" hidden="false" customHeight="true" outlineLevel="0" collapsed="false">
      <c r="B25" s="4"/>
      <c r="C25" s="4"/>
      <c r="D25" s="12"/>
      <c r="E25" s="4" t="s">
        <v>42</v>
      </c>
      <c r="F25" s="11"/>
      <c r="G25" s="6" t="n">
        <v>1</v>
      </c>
      <c r="H25" s="7"/>
      <c r="I25" s="8" t="n">
        <f aca="false">G25*8</f>
        <v>8</v>
      </c>
      <c r="J25" s="8"/>
    </row>
    <row r="26" customFormat="false" ht="19.5" hidden="false" customHeight="true" outlineLevel="0" collapsed="false">
      <c r="B26" s="4"/>
      <c r="C26" s="4"/>
      <c r="D26" s="12"/>
      <c r="E26" s="4" t="s">
        <v>43</v>
      </c>
      <c r="F26" s="4" t="s">
        <v>44</v>
      </c>
      <c r="G26" s="6" t="n">
        <v>1.5</v>
      </c>
      <c r="H26" s="7"/>
      <c r="I26" s="8" t="n">
        <f aca="false">G26*8</f>
        <v>12</v>
      </c>
      <c r="J26" s="8"/>
    </row>
    <row r="27" customFormat="false" ht="19.5" hidden="false" customHeight="true" outlineLevel="0" collapsed="false">
      <c r="B27" s="4"/>
      <c r="C27" s="4"/>
      <c r="D27" s="12"/>
      <c r="E27" s="4" t="s">
        <v>45</v>
      </c>
      <c r="F27" s="11" t="s">
        <v>46</v>
      </c>
      <c r="G27" s="6" t="n">
        <v>0.5</v>
      </c>
      <c r="H27" s="7"/>
      <c r="I27" s="8" t="n">
        <f aca="false">G27*8</f>
        <v>4</v>
      </c>
      <c r="J27" s="8"/>
    </row>
    <row r="28" customFormat="false" ht="19.5" hidden="false" customHeight="true" outlineLevel="0" collapsed="false">
      <c r="B28" s="4"/>
      <c r="C28" s="4"/>
      <c r="D28" s="12"/>
      <c r="E28" s="4" t="s">
        <v>47</v>
      </c>
      <c r="F28" s="11"/>
      <c r="G28" s="6" t="n">
        <v>1</v>
      </c>
      <c r="H28" s="9" t="n">
        <f aca="false">SUM(G23:G28)</f>
        <v>5.5</v>
      </c>
      <c r="I28" s="8" t="n">
        <f aca="false">G28*8</f>
        <v>8</v>
      </c>
      <c r="J28" s="10" t="n">
        <f aca="false">SUM(I23:I28)</f>
        <v>44</v>
      </c>
    </row>
    <row r="29" customFormat="false" ht="19.5" hidden="false" customHeight="true" outlineLevel="0" collapsed="false">
      <c r="B29" s="4"/>
      <c r="C29" s="4" t="s">
        <v>48</v>
      </c>
      <c r="D29" s="12" t="s">
        <v>49</v>
      </c>
      <c r="E29" s="4" t="s">
        <v>50</v>
      </c>
      <c r="F29" s="11" t="s">
        <v>51</v>
      </c>
      <c r="G29" s="6" t="n">
        <v>1</v>
      </c>
      <c r="H29" s="7"/>
      <c r="I29" s="8" t="n">
        <f aca="false">G29*8</f>
        <v>8</v>
      </c>
      <c r="J29" s="8"/>
    </row>
    <row r="30" customFormat="false" ht="19.5" hidden="false" customHeight="true" outlineLevel="0" collapsed="false">
      <c r="B30" s="4"/>
      <c r="C30" s="4"/>
      <c r="D30" s="12"/>
      <c r="E30" s="4" t="s">
        <v>52</v>
      </c>
      <c r="F30" s="4" t="s">
        <v>53</v>
      </c>
      <c r="G30" s="6" t="n">
        <v>0.5</v>
      </c>
      <c r="H30" s="7"/>
      <c r="I30" s="8" t="n">
        <f aca="false">G30*8</f>
        <v>4</v>
      </c>
      <c r="J30" s="8"/>
    </row>
    <row r="31" customFormat="false" ht="19.5" hidden="false" customHeight="true" outlineLevel="0" collapsed="false">
      <c r="B31" s="4"/>
      <c r="C31" s="4"/>
      <c r="D31" s="12"/>
      <c r="E31" s="4" t="s">
        <v>54</v>
      </c>
      <c r="F31" s="11"/>
      <c r="G31" s="6" t="n">
        <v>1.5</v>
      </c>
      <c r="H31" s="7"/>
      <c r="I31" s="8" t="n">
        <f aca="false">G31*8</f>
        <v>12</v>
      </c>
      <c r="J31" s="8"/>
    </row>
    <row r="32" customFormat="false" ht="19.5" hidden="false" customHeight="true" outlineLevel="0" collapsed="false">
      <c r="B32" s="4"/>
      <c r="C32" s="4"/>
      <c r="D32" s="12"/>
      <c r="E32" s="4" t="s">
        <v>55</v>
      </c>
      <c r="F32" s="11"/>
      <c r="G32" s="6" t="n">
        <v>0.5</v>
      </c>
      <c r="H32" s="9" t="n">
        <f aca="false">SUM(G29:G32)</f>
        <v>3.5</v>
      </c>
      <c r="I32" s="8" t="n">
        <f aca="false">G32*8</f>
        <v>4</v>
      </c>
      <c r="J32" s="10" t="n">
        <f aca="false">SUM(I29:I32)</f>
        <v>28</v>
      </c>
    </row>
    <row r="33" customFormat="false" ht="19.5" hidden="false" customHeight="true" outlineLevel="0" collapsed="false">
      <c r="B33" s="4"/>
      <c r="C33" s="4" t="s">
        <v>56</v>
      </c>
      <c r="D33" s="5" t="s">
        <v>13</v>
      </c>
      <c r="E33" s="4" t="s">
        <v>57</v>
      </c>
      <c r="F33" s="4" t="s">
        <v>58</v>
      </c>
      <c r="G33" s="6" t="n">
        <v>1</v>
      </c>
      <c r="H33" s="9" t="n">
        <f aca="false">SUM(G33:G33)</f>
        <v>1</v>
      </c>
      <c r="I33" s="8" t="n">
        <f aca="false">G33*8</f>
        <v>8</v>
      </c>
      <c r="J33" s="10" t="n">
        <f aca="false">SUM(I33:I33)</f>
        <v>8</v>
      </c>
    </row>
    <row r="34" customFormat="false" ht="19.5" hidden="false" customHeight="true" outlineLevel="0" collapsed="false">
      <c r="B34" s="13" t="s">
        <v>59</v>
      </c>
      <c r="C34" s="13"/>
      <c r="D34" s="13"/>
      <c r="E34" s="13"/>
      <c r="F34" s="13"/>
      <c r="G34" s="13"/>
      <c r="H34" s="14" t="n">
        <f aca="false">SUM(H6:H33)</f>
        <v>24.75</v>
      </c>
      <c r="I34" s="15"/>
      <c r="J34" s="15" t="n">
        <f aca="false">SUM(J6:J33)</f>
        <v>198</v>
      </c>
    </row>
    <row r="36" customFormat="false" ht="15" hidden="false" customHeight="false" outlineLevel="0" collapsed="false">
      <c r="B36" s="16" t="s">
        <v>60</v>
      </c>
    </row>
    <row r="37" customFormat="false" ht="15" hidden="false" customHeight="false" outlineLevel="0" collapsed="false">
      <c r="B37" s="17" t="s">
        <v>61</v>
      </c>
    </row>
    <row r="38" customFormat="false" ht="15" hidden="false" customHeight="false" outlineLevel="0" collapsed="false">
      <c r="B38" s="17" t="s">
        <v>62</v>
      </c>
    </row>
    <row r="39" customFormat="false" ht="15" hidden="false" customHeight="false" outlineLevel="0" collapsed="false">
      <c r="B39" s="17"/>
    </row>
    <row r="40" customFormat="false" ht="15" hidden="false" customHeight="false" outlineLevel="0" collapsed="false">
      <c r="B40" s="16" t="s">
        <v>63</v>
      </c>
    </row>
    <row r="41" customFormat="false" ht="15" hidden="false" customHeight="false" outlineLevel="0" collapsed="false">
      <c r="B41" s="17" t="s">
        <v>64</v>
      </c>
    </row>
    <row r="42" customFormat="false" ht="15" hidden="false" customHeight="false" outlineLevel="0" collapsed="false">
      <c r="B42" s="17" t="s">
        <v>65</v>
      </c>
    </row>
    <row r="43" customFormat="false" ht="15" hidden="false" customHeight="false" outlineLevel="0" collapsed="false">
      <c r="B43" s="17" t="s">
        <v>66</v>
      </c>
    </row>
    <row r="44" customFormat="false" ht="15" hidden="false" customHeight="false" outlineLevel="0" collapsed="false">
      <c r="B44" s="17" t="s">
        <v>67</v>
      </c>
    </row>
    <row r="45" customFormat="false" ht="15" hidden="false" customHeight="false" outlineLevel="0" collapsed="false">
      <c r="B45" s="17" t="s">
        <v>68</v>
      </c>
    </row>
    <row r="46" customFormat="false" ht="15" hidden="false" customHeight="false" outlineLevel="0" collapsed="false">
      <c r="B46" s="17" t="s">
        <v>69</v>
      </c>
    </row>
    <row r="47" customFormat="false" ht="15" hidden="false" customHeight="false" outlineLevel="0" collapsed="false">
      <c r="B47" s="17"/>
    </row>
    <row r="48" customFormat="false" ht="15" hidden="false" customHeight="false" outlineLevel="0" collapsed="false">
      <c r="B48" s="16" t="s">
        <v>70</v>
      </c>
    </row>
    <row r="49" customFormat="false" ht="15" hidden="false" customHeight="false" outlineLevel="0" collapsed="false">
      <c r="B49" s="17" t="s">
        <v>71</v>
      </c>
    </row>
    <row r="50" customFormat="false" ht="15" hidden="false" customHeight="false" outlineLevel="0" collapsed="false">
      <c r="B50" s="17" t="s">
        <v>72</v>
      </c>
    </row>
    <row r="51" customFormat="false" ht="15" hidden="false" customHeight="false" outlineLevel="0" collapsed="false">
      <c r="B51" s="17" t="s">
        <v>73</v>
      </c>
    </row>
    <row r="52" customFormat="false" ht="15" hidden="false" customHeight="false" outlineLevel="0" collapsed="false">
      <c r="B52" s="17" t="s">
        <v>74</v>
      </c>
    </row>
  </sheetData>
  <mergeCells count="19">
    <mergeCell ref="B4:B5"/>
    <mergeCell ref="C4:C5"/>
    <mergeCell ref="D4:D5"/>
    <mergeCell ref="E4:E5"/>
    <mergeCell ref="F4:F5"/>
    <mergeCell ref="G4:H4"/>
    <mergeCell ref="I4:J4"/>
    <mergeCell ref="B6:B33"/>
    <mergeCell ref="C6:C9"/>
    <mergeCell ref="D6:D9"/>
    <mergeCell ref="C10:C14"/>
    <mergeCell ref="D10:D14"/>
    <mergeCell ref="C15:C22"/>
    <mergeCell ref="D15:D22"/>
    <mergeCell ref="C23:C28"/>
    <mergeCell ref="D23:D28"/>
    <mergeCell ref="C29:C32"/>
    <mergeCell ref="D29:D32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10" min="7" style="0" width="9"/>
  </cols>
  <sheetData>
    <row r="2" customFormat="false" ht="21.6" hidden="false" customHeight="false" outlineLevel="0" collapsed="false">
      <c r="B2" s="18" t="s">
        <v>75</v>
      </c>
    </row>
    <row r="3" customFormat="false" ht="15" hidden="false" customHeight="false" outlineLevel="0" collapsed="false">
      <c r="B3" s="2" t="s">
        <v>76</v>
      </c>
    </row>
    <row r="4" customFormat="false" ht="15" hidden="false" customHeight="false" outlineLevel="0" collapsed="false">
      <c r="B4" s="19" t="s">
        <v>77</v>
      </c>
    </row>
    <row r="6" customFormat="false" ht="1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/>
      <c r="I6" s="3" t="s">
        <v>8</v>
      </c>
      <c r="J6" s="3"/>
    </row>
    <row r="7" customFormat="false" ht="15" hidden="false" customHeight="false" outlineLevel="0" collapsed="false">
      <c r="B7" s="3"/>
      <c r="C7" s="3"/>
      <c r="D7" s="3"/>
      <c r="E7" s="3"/>
      <c r="F7" s="3"/>
      <c r="G7" s="3" t="s">
        <v>9</v>
      </c>
      <c r="H7" s="3" t="s">
        <v>10</v>
      </c>
      <c r="I7" s="3" t="s">
        <v>9</v>
      </c>
      <c r="J7" s="3" t="s">
        <v>10</v>
      </c>
    </row>
    <row r="8" customFormat="false" ht="19.5" hidden="false" customHeight="true" outlineLevel="0" collapsed="false">
      <c r="B8" s="4" t="s">
        <v>11</v>
      </c>
      <c r="C8" s="11" t="s">
        <v>78</v>
      </c>
      <c r="D8" s="12" t="s">
        <v>49</v>
      </c>
      <c r="E8" s="4" t="s">
        <v>79</v>
      </c>
      <c r="F8" s="11"/>
      <c r="G8" s="6" t="n">
        <v>1</v>
      </c>
      <c r="H8" s="7"/>
      <c r="I8" s="8" t="n">
        <f aca="false">G8*8</f>
        <v>8</v>
      </c>
      <c r="J8" s="8"/>
    </row>
    <row r="9" customFormat="false" ht="19.5" hidden="false" customHeight="true" outlineLevel="0" collapsed="false">
      <c r="B9" s="4"/>
      <c r="C9" s="4"/>
      <c r="D9" s="12"/>
      <c r="E9" s="11" t="s">
        <v>80</v>
      </c>
      <c r="F9" s="4" t="s">
        <v>81</v>
      </c>
      <c r="G9" s="6" t="n">
        <v>0.5</v>
      </c>
      <c r="H9" s="7"/>
      <c r="I9" s="8" t="n">
        <f aca="false">G9*8</f>
        <v>4</v>
      </c>
      <c r="J9" s="8"/>
    </row>
    <row r="10" customFormat="false" ht="19.5" hidden="false" customHeight="true" outlineLevel="0" collapsed="false">
      <c r="B10" s="4"/>
      <c r="C10" s="4"/>
      <c r="D10" s="12"/>
      <c r="E10" s="11" t="s">
        <v>82</v>
      </c>
      <c r="F10" s="11"/>
      <c r="G10" s="6" t="n">
        <v>0.25</v>
      </c>
      <c r="H10" s="7"/>
      <c r="I10" s="8" t="n">
        <f aca="false">G10*8</f>
        <v>2</v>
      </c>
      <c r="J10" s="8"/>
    </row>
    <row r="11" customFormat="false" ht="19.5" hidden="false" customHeight="true" outlineLevel="0" collapsed="false">
      <c r="B11" s="4"/>
      <c r="C11" s="4"/>
      <c r="D11" s="12"/>
      <c r="E11" s="11" t="s">
        <v>83</v>
      </c>
      <c r="F11" s="11"/>
      <c r="G11" s="6" t="n">
        <v>1.5</v>
      </c>
      <c r="H11" s="7"/>
      <c r="I11" s="8" t="n">
        <f aca="false">G11*8</f>
        <v>12</v>
      </c>
      <c r="J11" s="8"/>
    </row>
    <row r="12" customFormat="false" ht="19.5" hidden="false" customHeight="true" outlineLevel="0" collapsed="false">
      <c r="B12" s="4"/>
      <c r="C12" s="4"/>
      <c r="D12" s="12"/>
      <c r="E12" s="4" t="s">
        <v>84</v>
      </c>
      <c r="F12" s="11"/>
      <c r="G12" s="6" t="n">
        <v>1.5</v>
      </c>
      <c r="H12" s="7"/>
      <c r="I12" s="8" t="n">
        <f aca="false">G12*8</f>
        <v>12</v>
      </c>
      <c r="J12" s="8"/>
    </row>
    <row r="13" customFormat="false" ht="19.5" hidden="false" customHeight="true" outlineLevel="0" collapsed="false">
      <c r="B13" s="4"/>
      <c r="C13" s="4"/>
      <c r="D13" s="12"/>
      <c r="E13" s="4" t="s">
        <v>85</v>
      </c>
      <c r="F13" s="4" t="s">
        <v>53</v>
      </c>
      <c r="G13" s="6" t="n">
        <v>0.5</v>
      </c>
      <c r="H13" s="7"/>
      <c r="I13" s="8" t="n">
        <f aca="false">G13*8</f>
        <v>4</v>
      </c>
      <c r="J13" s="8"/>
    </row>
    <row r="14" customFormat="false" ht="19.5" hidden="false" customHeight="true" outlineLevel="0" collapsed="false">
      <c r="B14" s="4"/>
      <c r="C14" s="4"/>
      <c r="D14" s="12"/>
      <c r="E14" s="4" t="s">
        <v>86</v>
      </c>
      <c r="F14" s="11"/>
      <c r="G14" s="6" t="n">
        <v>0.75</v>
      </c>
      <c r="H14" s="9" t="n">
        <f aca="false">SUM(G8:G14)</f>
        <v>6</v>
      </c>
      <c r="I14" s="8" t="n">
        <f aca="false">G14*8</f>
        <v>6</v>
      </c>
      <c r="J14" s="10" t="n">
        <f aca="false">SUM(I8:I14)</f>
        <v>48</v>
      </c>
    </row>
    <row r="15" customFormat="false" ht="19.5" hidden="false" customHeight="true" outlineLevel="0" collapsed="false">
      <c r="B15" s="13" t="s">
        <v>59</v>
      </c>
      <c r="C15" s="13"/>
      <c r="D15" s="13"/>
      <c r="E15" s="13"/>
      <c r="F15" s="13"/>
      <c r="G15" s="13"/>
      <c r="H15" s="14" t="n">
        <f aca="false">SUM(H8:H14)</f>
        <v>6</v>
      </c>
      <c r="I15" s="15"/>
      <c r="J15" s="15" t="n">
        <f aca="false">SUM(J8:J14)</f>
        <v>48</v>
      </c>
    </row>
  </sheetData>
  <mergeCells count="11">
    <mergeCell ref="B6:B7"/>
    <mergeCell ref="C6:C7"/>
    <mergeCell ref="D6:D7"/>
    <mergeCell ref="E6:E7"/>
    <mergeCell ref="F6:F7"/>
    <mergeCell ref="G6:H6"/>
    <mergeCell ref="I6:J6"/>
    <mergeCell ref="B8:B14"/>
    <mergeCell ref="C8:C14"/>
    <mergeCell ref="D8:D14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2026-07-31T06:34:14Z</dcterms:created>
  <dc:creator>openpyxl</dc:creator>
  <dc:description/>
  <dc:language>en-US</dc:language>
  <cp:lastModifiedBy/>
  <dcterms:modified xsi:type="dcterms:W3CDTF">2026-07-31T06:34:14Z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